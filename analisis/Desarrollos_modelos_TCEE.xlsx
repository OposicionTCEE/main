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5.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tables/table1.xml" ContentType="application/vnd.openxmlformats-officedocument.spreadsheetml.table+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Por familia" sheetId="1" state="visible" r:id="rId3"/>
    <sheet name="Duplicidades" sheetId="2" state="visible" r:id="rId4"/>
    <sheet name="Desarrollos" sheetId="3" state="visible" r:id="rId5"/>
    <sheet name="Matriz" sheetId="4" state="visible" r:id="rId6"/>
    <sheet name="Formalización sin modelo" sheetId="5" state="visible" r:id="rId7"/>
    <sheet name="Notas" sheetId="6" state="visible" r:id="rId8"/>
  </sheets>
  <definedNames>
    <definedName function="false" hidden="true" localSheetId="4" name="_xlnm._FilterDatabase" vbProcedure="false">'Formalización sin modelo'!$A$1:$D$216</definedName>
    <definedName function="false" hidden="true" localSheetId="0" name="_xlnm._FilterDatabase" vbProcedure="false">'Por familia'!$A$4:$I$100</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<sst xmlns="http://schemas.openxmlformats.org/spreadsheetml/2006/main" count="3651" uniqueCount="1070">
  <si>
    <t xml:space="preserve">Dónde se DESARROLLA matemáticamente cada modelo (original y variantes)</t>
  </si>
  <si>
    <t xml:space="preserve">Solo cuentan desarrollos formales (al menos un bloque de ecuaciones atribuible al modelo); las menciones no cuentan. Las columnas numéricas son fórmulas sobre la hoja "Desarrollos". Una familia con ≥2 temas es candidata a homogeneizar.</t>
  </si>
  <si>
    <t xml:space="preserve">Área</t>
  </si>
  <si>
    <t xml:space="preserve">Familia (modelo original)</t>
  </si>
  <si>
    <t xml:space="preserve">Referencia</t>
  </si>
  <si>
    <t xml:space="preserve">Temas: versión original</t>
  </si>
  <si>
    <t xml:space="preserve">Temas: variantes (forma → tema)</t>
  </si>
  <si>
    <t xml:space="preserve">Nº temas distintos</t>
  </si>
  <si>
    <t xml:space="preserve">Nº desarrollos (filas)</t>
  </si>
  <si>
    <t xml:space="preserve">Nº completos</t>
  </si>
  <si>
    <t xml:space="preserve">¿Duplicidad?</t>
  </si>
  <si>
    <t xml:space="preserve">Microeconomía</t>
  </si>
  <si>
    <t xml:space="preserve">Descuento cuasi-hiperbólico</t>
  </si>
  <si>
    <t xml:space="preserve">Laibson (1997)</t>
  </si>
  <si>
    <t xml:space="preserve">3.A.29</t>
  </si>
  <si>
    <t xml:space="preserve">—</t>
  </si>
  <si>
    <t xml:space="preserve">Asignación del tiempo</t>
  </si>
  <si>
    <t xml:space="preserve">Becker (1965)</t>
  </si>
  <si>
    <t xml:space="preserve">3.A.25</t>
  </si>
  <si>
    <t xml:space="preserve">Elección ocio-consumo (oferta de trabajo neoclásica)</t>
  </si>
  <si>
    <t xml:space="preserve">Robbins (1930) / tradición neoclásica</t>
  </si>
  <si>
    <t xml:space="preserve">3.A.6, 3.A.25</t>
  </si>
  <si>
    <t xml:space="preserve">Oferta intertemporal de trabajo (Lucas-Rapping 1969) → 3.A.25</t>
  </si>
  <si>
    <t xml:space="preserve">Competencia monopolística</t>
  </si>
  <si>
    <t xml:space="preserve">Chamberlin (1933)</t>
  </si>
  <si>
    <t xml:space="preserve">— (solo variantes)</t>
  </si>
  <si>
    <t xml:space="preserve">Dixit-Stiglitz (1977) → 3.A.18, 3.B.6</t>
  </si>
  <si>
    <t xml:space="preserve">Duopolio de Cournot</t>
  </si>
  <si>
    <t xml:space="preserve">Cournot (1838)</t>
  </si>
  <si>
    <t xml:space="preserve">3.A.19</t>
  </si>
  <si>
    <t xml:space="preserve">Variaciones conjeturales (Bowley 1924) → 3.A.19</t>
  </si>
  <si>
    <t xml:space="preserve">Duopolio de Bertrand</t>
  </si>
  <si>
    <t xml:space="preserve">Bertrand (1883)</t>
  </si>
  <si>
    <t xml:space="preserve">Ciudad lineal (diferenciación espacial)</t>
  </si>
  <si>
    <t xml:space="preserve">Hotelling (1929)</t>
  </si>
  <si>
    <t xml:space="preserve">3.A.18</t>
  </si>
  <si>
    <t xml:space="preserve">Ciudad circular (Salop 1979) → 3.A.18</t>
  </si>
  <si>
    <t xml:space="preserve">Principal-agente</t>
  </si>
  <si>
    <t xml:space="preserve">Ross (1973) / Jensen-Meckling (1976)</t>
  </si>
  <si>
    <t xml:space="preserve">3.A.13</t>
  </si>
  <si>
    <t xml:space="preserve">Holmström (1979) — condiciones de primer orden → 3.A.13</t>
  </si>
  <si>
    <t xml:space="preserve">Filtrado en mercado de seguros</t>
  </si>
  <si>
    <t xml:space="preserve">Rothschild-Stiglitz (1976)</t>
  </si>
  <si>
    <t xml:space="preserve">Screening monopolístico (Mussa-Rosen 1978) → 3.A.13</t>
  </si>
  <si>
    <t xml:space="preserve">Señalización en el mercado de trabajo</t>
  </si>
  <si>
    <t xml:space="preserve">Spence (1973)</t>
  </si>
  <si>
    <t xml:space="preserve">Señalización financiera (Ross 1977) → 3.B.3</t>
  </si>
  <si>
    <t xml:space="preserve">Equilibrio general walrasiano / Arrow-Debreu</t>
  </si>
  <si>
    <t xml:space="preserve">Walras (1874) / Arrow-Debreu (1954)</t>
  </si>
  <si>
    <t xml:space="preserve">3.A.16, 3.A.21</t>
  </si>
  <si>
    <t xml:space="preserve">Equilibrio de Radner (1972) → 3.A.21</t>
  </si>
  <si>
    <t xml:space="preserve">Tablas input-output</t>
  </si>
  <si>
    <t xml:space="preserve">Leontief (1936)</t>
  </si>
  <si>
    <t xml:space="preserve">3.A.31</t>
  </si>
  <si>
    <t xml:space="preserve">Análisis envolvente de datos (DEA)</t>
  </si>
  <si>
    <t xml:space="preserve">Charnes-Cooper-Rhodes (1978)</t>
  </si>
  <si>
    <t xml:space="preserve">3.A.12</t>
  </si>
  <si>
    <t xml:space="preserve">Frontera estocástica (SFA)</t>
  </si>
  <si>
    <t xml:space="preserve">Aigner-Lovell-Schmidt (1977)</t>
  </si>
  <si>
    <t xml:space="preserve">Regulación</t>
  </si>
  <si>
    <t xml:space="preserve">Regulación con información asimétrica</t>
  </si>
  <si>
    <t xml:space="preserve">Laffont-Tirole (1986/1993)</t>
  </si>
  <si>
    <t xml:space="preserve">3.A.20</t>
  </si>
  <si>
    <t xml:space="preserve">Sector público</t>
  </si>
  <si>
    <t xml:space="preserve">Imposición / tarificación óptima de Ramsey</t>
  </si>
  <si>
    <t xml:space="preserve">Ramsey (1927)</t>
  </si>
  <si>
    <t xml:space="preserve">4.B.11</t>
  </si>
  <si>
    <t xml:space="preserve">Ramsey-Boiteux (1956) → 3.A.20</t>
  </si>
  <si>
    <t xml:space="preserve">Imposición óptima sobre la renta</t>
  </si>
  <si>
    <t xml:space="preserve">Mirrlees (1971)</t>
  </si>
  <si>
    <t xml:space="preserve">Impuesto lineal óptimo (Stern 1976) → 4.B.10</t>
  </si>
  <si>
    <t xml:space="preserve">Bienes públicos: provisión eficiente</t>
  </si>
  <si>
    <t xml:space="preserve">Samuelson (1954)</t>
  </si>
  <si>
    <t xml:space="preserve">3.A.23</t>
  </si>
  <si>
    <t xml:space="preserve">Lindahl (1919) → 3.A.23</t>
  </si>
  <si>
    <t xml:space="preserve">Macroeconomía</t>
  </si>
  <si>
    <t xml:space="preserve">Modelo keynesiano simple (renta-gasto / aspa keynesiana)</t>
  </si>
  <si>
    <t xml:space="preserve">Keynes (1936) / Samuelson</t>
  </si>
  <si>
    <t xml:space="preserve">3.A.38, 3.A.40, 3.B.14</t>
  </si>
  <si>
    <t xml:space="preserve">Sistema keynesiano completo (Teoría General) → 3.A.4</t>
  </si>
  <si>
    <t xml:space="preserve">IS-LM</t>
  </si>
  <si>
    <t xml:space="preserve">Hicks (1937) / Hansen (1953)</t>
  </si>
  <si>
    <t xml:space="preserve">3.A.5, 3.A.38, 3.A.40</t>
  </si>
  <si>
    <t xml:space="preserve">Blinder-Solow (1973) → 3.A.39</t>
  </si>
  <si>
    <t xml:space="preserve">Ciclo Real (RBC)</t>
  </si>
  <si>
    <t xml:space="preserve">Kydland-Prescott (1982) / Long-Plosser (1983)</t>
  </si>
  <si>
    <t xml:space="preserve">3.A.42</t>
  </si>
  <si>
    <t xml:space="preserve">Inconsistencia temporal de la política</t>
  </si>
  <si>
    <t xml:space="preserve">Kydland-Prescott (1977)</t>
  </si>
  <si>
    <t xml:space="preserve">3.A.6, 3.A.23</t>
  </si>
  <si>
    <t xml:space="preserve">Islas de Lucas (información imperfecta)</t>
  </si>
  <si>
    <t xml:space="preserve">Lucas (1972, 1973)</t>
  </si>
  <si>
    <t xml:space="preserve">3.A.6, 3.A.42</t>
  </si>
  <si>
    <t xml:space="preserve">Costes de menú</t>
  </si>
  <si>
    <t xml:space="preserve">Mankiw (1985) / Akerlof-Yellen (1985)</t>
  </si>
  <si>
    <t xml:space="preserve">3.A.7</t>
  </si>
  <si>
    <t xml:space="preserve">Blanchard-Kiyotaki (1987) → 3.A.7</t>
  </si>
  <si>
    <t xml:space="preserve">Nuevo keynesiano de tres ecuaciones (NEK-2)</t>
  </si>
  <si>
    <t xml:space="preserve">Clarida-Galí-Gertler (1999) / Woodford (2003)</t>
  </si>
  <si>
    <t xml:space="preserve">3.A.7, 3.A.28, 3.A.37, 3.A.41, 3.A.42</t>
  </si>
  <si>
    <t xml:space="preserve">Renta permanente</t>
  </si>
  <si>
    <t xml:space="preserve">Friedman (1957)</t>
  </si>
  <si>
    <t xml:space="preserve">3.A.5, 3.A.29, 3.A.33</t>
  </si>
  <si>
    <t xml:space="preserve">Paseo aleatorio del consumo (Hall 1978) → 3.A.33</t>
  </si>
  <si>
    <t xml:space="preserve">Ciclo vital</t>
  </si>
  <si>
    <t xml:space="preserve">Modigliani-Brumberg (1954)</t>
  </si>
  <si>
    <t xml:space="preserve">3.A.33</t>
  </si>
  <si>
    <t xml:space="preserve">q de Tobin</t>
  </si>
  <si>
    <t xml:space="preserve">Tobin (1969)</t>
  </si>
  <si>
    <t xml:space="preserve">3.A.34</t>
  </si>
  <si>
    <t xml:space="preserve">Hayashi (1982) → 3.A.34</t>
  </si>
  <si>
    <t xml:space="preserve">Opciones reales de inversión</t>
  </si>
  <si>
    <t xml:space="preserve">Dixit-Pindyck (1994)</t>
  </si>
  <si>
    <t xml:space="preserve">3.A.34, 3.B.2</t>
  </si>
  <si>
    <t xml:space="preserve">Acelerador financiero</t>
  </si>
  <si>
    <t xml:space="preserve">Bernanke-Gertler-Gilchrist (1999)</t>
  </si>
  <si>
    <t xml:space="preserve">Demanda de dinero por inventario</t>
  </si>
  <si>
    <t xml:space="preserve">Baumol (1952) / Tobin (1956)</t>
  </si>
  <si>
    <t xml:space="preserve">3.A.35</t>
  </si>
  <si>
    <t xml:space="preserve">Shopping-time → 3.A.35</t>
  </si>
  <si>
    <t xml:space="preserve">Dinero en la función de utilidad (MIU)</t>
  </si>
  <si>
    <t xml:space="preserve">Sidrauski (1967)</t>
  </si>
  <si>
    <t xml:space="preserve">Cash-in-advance (CIA)</t>
  </si>
  <si>
    <t xml:space="preserve">Clower (1967) / Lucas-Stokey</t>
  </si>
  <si>
    <t xml:space="preserve">Hiperinflación</t>
  </si>
  <si>
    <t xml:space="preserve">Cagan (1956)</t>
  </si>
  <si>
    <t xml:space="preserve">3.A.41</t>
  </si>
  <si>
    <t xml:space="preserve">Suavización impositiva</t>
  </si>
  <si>
    <t xml:space="preserve">Barro (1979)</t>
  </si>
  <si>
    <t xml:space="preserve">3.A.38</t>
  </si>
  <si>
    <t xml:space="preserve">Mercado de trabajo</t>
  </si>
  <si>
    <t xml:space="preserve">Salarios de eficiencia</t>
  </si>
  <si>
    <t xml:space="preserve">Solow (1979)</t>
  </si>
  <si>
    <t xml:space="preserve">3.A.7, 3.A.27</t>
  </si>
  <si>
    <t xml:space="preserve">Shapiro-Stiglitz (1984) → 3.A.27</t>
  </si>
  <si>
    <t xml:space="preserve">Monopolio sindical</t>
  </si>
  <si>
    <t xml:space="preserve">Dunlop (1944)</t>
  </si>
  <si>
    <t xml:space="preserve">Derecho a gestionar (Nickell-Andrews 1983) → 3.A.27
Negociación de Nash (1950) → 3.A.27
Negociación eficiente (McDonald-Solow 1981) → 3.A.27</t>
  </si>
  <si>
    <t xml:space="preserve">Búsqueda y emparejamiento (DMP)</t>
  </si>
  <si>
    <t xml:space="preserve">Diamond-Mortensen-Pissarides (1982-94)</t>
  </si>
  <si>
    <t xml:space="preserve">3.A.26, 3.A.28</t>
  </si>
  <si>
    <t xml:space="preserve">NAIRU / WS-PS</t>
  </si>
  <si>
    <t xml:space="preserve">Layard-Nickell-Jackman (1991)</t>
  </si>
  <si>
    <t xml:space="preserve">3.A.28, 3.A.41</t>
  </si>
  <si>
    <t xml:space="preserve">Crecimiento</t>
  </si>
  <si>
    <t xml:space="preserve">Harrod-Domar</t>
  </si>
  <si>
    <t xml:space="preserve">Harrod (1939) / Domar (1946)</t>
  </si>
  <si>
    <t xml:space="preserve">3.A.4</t>
  </si>
  <si>
    <t xml:space="preserve">Solow-Swan</t>
  </si>
  <si>
    <t xml:space="preserve">Solow (1956) / Swan (1956)</t>
  </si>
  <si>
    <t xml:space="preserve">3.A.43</t>
  </si>
  <si>
    <t xml:space="preserve">Ramsey-Cass-Koopmans</t>
  </si>
  <si>
    <t xml:space="preserve">Ramsey (1928) / Cass (1965) / Koopmans (1965)</t>
  </si>
  <si>
    <t xml:space="preserve">3.A.29, 3.A.43</t>
  </si>
  <si>
    <t xml:space="preserve">Generaciones solapadas</t>
  </si>
  <si>
    <t xml:space="preserve">Samuelson (1958)</t>
  </si>
  <si>
    <t xml:space="preserve">3.A.29, 3.A.35, 3.A.38</t>
  </si>
  <si>
    <t xml:space="preserve">Modelo AK</t>
  </si>
  <si>
    <t xml:space="preserve">Frankel (1962) / Rebelo (1991)</t>
  </si>
  <si>
    <t xml:space="preserve">3.A.44</t>
  </si>
  <si>
    <t xml:space="preserve">Externalidades / learning-by-doing (Arrow 1962; Romer 1986) → 3.A.44
Gasto público productivo (Barro 1990) → 3.A.38</t>
  </si>
  <si>
    <t xml:space="preserve">Capital humano</t>
  </si>
  <si>
    <t xml:space="preserve">Uzawa (1965) / Lucas (1988)</t>
  </si>
  <si>
    <t xml:space="preserve">Expansión de variedades (I+D)</t>
  </si>
  <si>
    <t xml:space="preserve">Romer (1990)</t>
  </si>
  <si>
    <t xml:space="preserve">Comercio internacional</t>
  </si>
  <si>
    <t xml:space="preserve">Modelo ricardiano</t>
  </si>
  <si>
    <t xml:space="preserve">Ricardo (1817)</t>
  </si>
  <si>
    <t xml:space="preserve">3.A.2, 3.B.5</t>
  </si>
  <si>
    <t xml:space="preserve">Factores específicos</t>
  </si>
  <si>
    <t xml:space="preserve">Ricardo-Viner / Jones (1971)</t>
  </si>
  <si>
    <t xml:space="preserve">3.B.5</t>
  </si>
  <si>
    <t xml:space="preserve">Heckscher-Ohlin</t>
  </si>
  <si>
    <t xml:space="preserve">Heckscher (1919) / Ohlin (1933)</t>
  </si>
  <si>
    <t xml:space="preserve">Nueva teoría del comercio (rendimientos crecientes)</t>
  </si>
  <si>
    <t xml:space="preserve">Krugman (1979, 1980)</t>
  </si>
  <si>
    <t xml:space="preserve">3.B.6</t>
  </si>
  <si>
    <t xml:space="preserve">Empresas heterogéneas</t>
  </si>
  <si>
    <t xml:space="preserve">Melitz (2003)</t>
  </si>
  <si>
    <t xml:space="preserve">Marco ACR / "modelo ARA" (Arkolakis-Costinot-Rodríguez-Clare 2012) → 3.B.7
Melitz-Ottaviano (2008) → 3.B.6, 3.B.7, 3.B.10</t>
  </si>
  <si>
    <t xml:space="preserve">Modelo de gravedad</t>
  </si>
  <si>
    <t xml:space="preserve">Tinbergen (1962)</t>
  </si>
  <si>
    <t xml:space="preserve">3.B.10</t>
  </si>
  <si>
    <t xml:space="preserve">Macroeconomía abierta</t>
  </si>
  <si>
    <t xml:space="preserve">Enfoque de elasticidades</t>
  </si>
  <si>
    <t xml:space="preserve">Bickerdike-Robinson-Metzler / Marshall-Lerner</t>
  </si>
  <si>
    <t xml:space="preserve">3.B.12</t>
  </si>
  <si>
    <t xml:space="preserve">Enfoque monetario de la balanza de pagos</t>
  </si>
  <si>
    <t xml:space="preserve">Johnson (1972) / Mundell</t>
  </si>
  <si>
    <t xml:space="preserve">Mundell-Fleming</t>
  </si>
  <si>
    <t xml:space="preserve">Mundell (1963) / Fleming (1962)</t>
  </si>
  <si>
    <t xml:space="preserve">IS-LM-BP → 3.B.12</t>
  </si>
  <si>
    <t xml:space="preserve">Modelo monetario del tipo de cambio (precios flexibles)</t>
  </si>
  <si>
    <t xml:space="preserve">Frenkel (1976) / Mussa (1976) / Bilson (1978)</t>
  </si>
  <si>
    <t xml:space="preserve">3.B.14</t>
  </si>
  <si>
    <t xml:space="preserve">Sobrerreacción (Dornbusch 1976) → 3.B.14</t>
  </si>
  <si>
    <t xml:space="preserve">Equilibrio de cartera</t>
  </si>
  <si>
    <t xml:space="preserve">Branson (1977) / Kouri (1976)</t>
  </si>
  <si>
    <t xml:space="preserve">McKinnon (1969) → 3.B.12, 3.B.14</t>
  </si>
  <si>
    <t xml:space="preserve">Nueva macroeconomía de economía abierta (NOEM)</t>
  </si>
  <si>
    <t xml:space="preserve">Obstfeld-Rogoff (1995)</t>
  </si>
  <si>
    <t xml:space="preserve">3.A.32</t>
  </si>
  <si>
    <t xml:space="preserve">Pequeña economía abierta NK (Galí-Monacelli 2005) → 3.A.32, 3.A.42</t>
  </si>
  <si>
    <t xml:space="preserve">Crisis cambiarias de primera generación</t>
  </si>
  <si>
    <t xml:space="preserve">Krugman (1979) / Flood-Garber (1984)</t>
  </si>
  <si>
    <t xml:space="preserve">3.B.17</t>
  </si>
  <si>
    <t xml:space="preserve">Crisis cambiarias de segunda generación</t>
  </si>
  <si>
    <t xml:space="preserve">Obstfeld (1994, 1996)</t>
  </si>
  <si>
    <t xml:space="preserve">Jeanne (2000) → 3.B.17</t>
  </si>
  <si>
    <t xml:space="preserve">Crisis cambiarias de tercera generación</t>
  </si>
  <si>
    <t xml:space="preserve">Krugman (1999) / Chang-Velasco (2001)</t>
  </si>
  <si>
    <t xml:space="preserve">Finanzas</t>
  </si>
  <si>
    <t xml:space="preserve">Selección de carteras media-varianza</t>
  </si>
  <si>
    <t xml:space="preserve">Markowitz (1952)</t>
  </si>
  <si>
    <t xml:space="preserve">3.B.23</t>
  </si>
  <si>
    <t xml:space="preserve">Capital Allocation Line → 3.B.23</t>
  </si>
  <si>
    <t xml:space="preserve">CAPM</t>
  </si>
  <si>
    <t xml:space="preserve">Sharpe (1964) / Lintner (1965) / Mossin (1966)</t>
  </si>
  <si>
    <t xml:space="preserve">3.B.2, 3.B.4, 3.B.23</t>
  </si>
  <si>
    <t xml:space="preserve">APT (arbitraje)</t>
  </si>
  <si>
    <t xml:space="preserve">Ross (1976)</t>
  </si>
  <si>
    <t xml:space="preserve">Valoración de opciones</t>
  </si>
  <si>
    <t xml:space="preserve">Black-Scholes (1973) / Merton (1973)</t>
  </si>
  <si>
    <t xml:space="preserve">3.B.25</t>
  </si>
  <si>
    <t xml:space="preserve">Riesgo de crédito estructural</t>
  </si>
  <si>
    <t xml:space="preserve">Merton (1974)</t>
  </si>
  <si>
    <t xml:space="preserve">3.B.26</t>
  </si>
  <si>
    <t xml:space="preserve">Seguro de depósitos como opción put (Merton 1977) → 3.B.26</t>
  </si>
  <si>
    <t xml:space="preserve">Descuento de dividendos / crecimiento constante</t>
  </si>
  <si>
    <t xml:space="preserve">Gordon-Shapiro (1956)</t>
  </si>
  <si>
    <t xml:space="preserve">3.B.2</t>
  </si>
  <si>
    <t xml:space="preserve">Irrelevancia de la estructura financiera</t>
  </si>
  <si>
    <t xml:space="preserve">Modigliani-Miller (1958)</t>
  </si>
  <si>
    <t xml:space="preserve">3.B.3</t>
  </si>
  <si>
    <t xml:space="preserve">Pánicos bancarios</t>
  </si>
  <si>
    <t xml:space="preserve">Diamond-Dybvig (1983)</t>
  </si>
  <si>
    <t xml:space="preserve">Racionamiento del crédito</t>
  </si>
  <si>
    <t xml:space="preserve">Stiglitz-Weiss (1981)</t>
  </si>
  <si>
    <t xml:space="preserve">Cambio climático</t>
  </si>
  <si>
    <t xml:space="preserve">DICE</t>
  </si>
  <si>
    <t xml:space="preserve">Nordhaus (1992)</t>
  </si>
  <si>
    <t xml:space="preserve">3.B.31</t>
  </si>
  <si>
    <t xml:space="preserve">Costes de ajuste (demanda dinámica de factores)</t>
  </si>
  <si>
    <t xml:space="preserve">Oi (1962) / Nickell (1986)</t>
  </si>
  <si>
    <t xml:space="preserve">3.A.26</t>
  </si>
  <si>
    <t xml:space="preserve">Enfoque intertemporal de la cuenta corriente</t>
  </si>
  <si>
    <t xml:space="preserve">Sachs (1981) / Obstfeld-Rogoff (1996)</t>
  </si>
  <si>
    <t xml:space="preserve">3.B.15, 3.B.29</t>
  </si>
  <si>
    <t xml:space="preserve">Modelo de dos períodos (Obstfeld-Rogoff 1996) → 3.B.12</t>
  </si>
  <si>
    <t xml:space="preserve">Pensamiento económico</t>
  </si>
  <si>
    <t xml:space="preserve">Teoría del valor-trabajo y reproducción</t>
  </si>
  <si>
    <t xml:space="preserve">Marx (1867, 1885)</t>
  </si>
  <si>
    <t xml:space="preserve">3.A.2</t>
  </si>
  <si>
    <t xml:space="preserve">Modelo macroeconómico clásico/neoclásico</t>
  </si>
  <si>
    <t xml:space="preserve">Tradición clásica (Say, Pigou)</t>
  </si>
  <si>
    <t xml:space="preserve">Curva de Phillips</t>
  </si>
  <si>
    <t xml:space="preserve">Phillips (1958) / Lipsey (1960) / Samuelson-Solow (1960)</t>
  </si>
  <si>
    <t xml:space="preserve">3.A.5, 3.A.6, 3.A.28, 3.A.32</t>
  </si>
  <si>
    <t xml:space="preserve">Aumentada con expectativas / tasa natural (Friedman 1968, Phelps 1967) → 3.A.5, 3.A.28
Curva de Phillips neokeynesiana / híbrida → 3.A.7, 3.A.32, 3.A.42</t>
  </si>
  <si>
    <t xml:space="preserve">Teoría cuantitativa del dinero</t>
  </si>
  <si>
    <t xml:space="preserve">Fisher (1911) / Marshall-Pigou (Cambridge)</t>
  </si>
  <si>
    <t xml:space="preserve">3.A.5, 3.A.35, 3.A.41</t>
  </si>
  <si>
    <t xml:space="preserve">Neocuantitativismo (Friedman 1956) → 3.A.35, 3.A.38
Saldos reales de Cambridge (M = kPY) → 3.A.3</t>
  </si>
  <si>
    <t xml:space="preserve">Preferencia por la liquidez</t>
  </si>
  <si>
    <t xml:space="preserve">Keynes (1936)</t>
  </si>
  <si>
    <t xml:space="preserve">Equivalencia ricardiana</t>
  </si>
  <si>
    <t xml:space="preserve">Barro (1974)</t>
  </si>
  <si>
    <t xml:space="preserve">3.A.38, 3.A.39, 3.A.40</t>
  </si>
  <si>
    <t xml:space="preserve">Dinámica y sostenibilidad de la deuda pública</t>
  </si>
  <si>
    <t xml:space="preserve">Domar (1944) / Blanchard (1990)</t>
  </si>
  <si>
    <t xml:space="preserve">3.A.39</t>
  </si>
  <si>
    <t xml:space="preserve">Deuda externa: brecha de absorción → 3.B.29</t>
  </si>
  <si>
    <t xml:space="preserve">Teoría fiscal del nivel de precios</t>
  </si>
  <si>
    <t xml:space="preserve">Leeper (1991) / Sims (1994) / Woodford (1995)</t>
  </si>
  <si>
    <t xml:space="preserve">Inflación por conflicto distributivo</t>
  </si>
  <si>
    <t xml:space="preserve">Rowthorn (1977)</t>
  </si>
  <si>
    <t xml:space="preserve">Competencia perfecta (equilibrio parcial)</t>
  </si>
  <si>
    <t xml:space="preserve">Marshall (1890)</t>
  </si>
  <si>
    <t xml:space="preserve">3.A.16</t>
  </si>
  <si>
    <t xml:space="preserve">Monopolio</t>
  </si>
  <si>
    <t xml:space="preserve">Cournot (1838) / Robinson (1933)</t>
  </si>
  <si>
    <t xml:space="preserve">3.A.17, 3.A.20</t>
  </si>
  <si>
    <t xml:space="preserve">Discriminación de precios → 3.A.17
Monopsonio → 3.A.17</t>
  </si>
  <si>
    <t xml:space="preserve">Segundo óptimo</t>
  </si>
  <si>
    <t xml:space="preserve">Lipsey-Lancaster (1956)</t>
  </si>
  <si>
    <t xml:space="preserve">3.A.22</t>
  </si>
  <si>
    <t xml:space="preserve">Externalidades y corrección pigouviana</t>
  </si>
  <si>
    <t xml:space="preserve">Pigou (1920)</t>
  </si>
  <si>
    <t xml:space="preserve">Negociación coasiana (Coase 1960) → 3.A.23</t>
  </si>
  <si>
    <t xml:space="preserve">Incidencia impositiva en equilibrio parcial</t>
  </si>
  <si>
    <t xml:space="preserve">Marshall / Musgrave</t>
  </si>
  <si>
    <t xml:space="preserve">3.A.16, 4.B.8</t>
  </si>
  <si>
    <t xml:space="preserve">Demanda de trabajo neoclásica</t>
  </si>
  <si>
    <t xml:space="preserve">Hicks (1932) / Marshall</t>
  </si>
  <si>
    <t xml:space="preserve">Capital humano y ecuación de ingresos</t>
  </si>
  <si>
    <t xml:space="preserve">Becker (1964) / Mincer (1974)</t>
  </si>
  <si>
    <t xml:space="preserve">Paridad de poder adquisitivo</t>
  </si>
  <si>
    <t xml:space="preserve">Cassel (1918)</t>
  </si>
  <si>
    <t xml:space="preserve">Paridad de intereses</t>
  </si>
  <si>
    <t xml:space="preserve">Keynes (1923)</t>
  </si>
  <si>
    <t xml:space="preserve">Paradoja del margen forward (contraste de eficiencia) → 3.B.14</t>
  </si>
  <si>
    <t xml:space="preserve">Burbujas racionales</t>
  </si>
  <si>
    <t xml:space="preserve">Blanchard-Watson (1982)</t>
  </si>
  <si>
    <t xml:space="preserve">3.A.42, 3.B.14</t>
  </si>
  <si>
    <t xml:space="preserve">Coordinación internacional (juego de cooperación)</t>
  </si>
  <si>
    <t xml:space="preserve">Hamada (1976) / Canzoneri-Gray</t>
  </si>
  <si>
    <t xml:space="preserve">3.B.19</t>
  </si>
  <si>
    <t xml:space="preserve">Arancel en equilibrio parcial / arancel óptimo</t>
  </si>
  <si>
    <t xml:space="preserve">Bickerdike (1906) / Johnson (1953)</t>
  </si>
  <si>
    <t xml:space="preserve">3.B.7</t>
  </si>
  <si>
    <t xml:space="preserve">Estructura temporal: expectativas y hábitat</t>
  </si>
  <si>
    <t xml:space="preserve">Fisher (1896) / Lutz (1940) / Modigliani-Sutch (1966)</t>
  </si>
  <si>
    <t xml:space="preserve">3.B.24</t>
  </si>
  <si>
    <t xml:space="preserve">Hábitat preferido (Modigliani-Sutch 1966) → 3.B.24</t>
  </si>
  <si>
    <t xml:space="preserve">Pérdida esperada e inesperada (IRB / Vasicek ASRF)</t>
  </si>
  <si>
    <t xml:space="preserve">Vasicek (2002) / Basilea II</t>
  </si>
  <si>
    <t xml:space="preserve">3.B.26, 3.B.27</t>
  </si>
  <si>
    <t xml:space="preserve">Tema</t>
  </si>
  <si>
    <t xml:space="preserve">Título del tema</t>
  </si>
  <si>
    <t xml:space="preserve">Forma desarrollada</t>
  </si>
  <si>
    <t xml:space="preserve">Epígrafe(s)</t>
  </si>
  <si>
    <t xml:space="preserve">Nº bloques</t>
  </si>
  <si>
    <t xml:space="preserve">Grado</t>
  </si>
  <si>
    <t xml:space="preserve">3.A.6</t>
  </si>
  <si>
    <t xml:space="preserve">La nueva macroeconomía clásica</t>
  </si>
  <si>
    <t xml:space="preserve">Versión original</t>
  </si>
  <si>
    <t xml:space="preserve">Modelo: Optimizacion intertemporal Ocio-Consumo</t>
  </si>
  <si>
    <t xml:space="preserve">Parcial</t>
  </si>
  <si>
    <t xml:space="preserve">La teoría neoclásica del mercado de trabajo</t>
  </si>
  <si>
    <t xml:space="preserve">El problema del consumidor: Eleccion entre consumo y ocio | Variaciones en la Funcion de Oferta Marshalliana</t>
  </si>
  <si>
    <t xml:space="preserve">Completo</t>
  </si>
  <si>
    <t xml:space="preserve">Oferta intertemporal de trabajo (Lucas-Rapping 1969)</t>
  </si>
  <si>
    <t xml:space="preserve">Obtencion de la oferta intertemporal de trabajo</t>
  </si>
  <si>
    <t xml:space="preserve">Análisis de mercados (III)</t>
  </si>
  <si>
    <t xml:space="preserve">Dixit-Stiglitz (1977)</t>
  </si>
  <si>
    <t xml:space="preserve">Consumidor: Preferencia por la variedad | Condicion CES: Simplificacion | Elasticidades-renta unitarias | Elasticidad-precio de la demanda de una variedad | Elasticidad de sustitucion: Intersectorial e Intrasectorial | Indice de precios: Deflactor del bienestar | Productor: Competencia monopolistica | Condicion de libre entrada</t>
  </si>
  <si>
    <t xml:space="preserve">Teoría del Comercio Internacional (II)</t>
  </si>
  <si>
    <t xml:space="preserve">Demanda: CES-isoelastica | Productor: Simetria en costes</t>
  </si>
  <si>
    <t xml:space="preserve">Economía de la información</t>
  </si>
  <si>
    <t xml:space="preserve">Equilibrios agrupadores (pooling) | Ejemplo.- Educacion (SPENCE, 1973)</t>
  </si>
  <si>
    <t xml:space="preserve">La empresa y las decisiones de financiación</t>
  </si>
  <si>
    <t xml:space="preserve">Señalización financiera (Ross 1977)</t>
  </si>
  <si>
    <t xml:space="preserve">Senalizacion y control: ROSS (1977)</t>
  </si>
  <si>
    <t xml:space="preserve">Análisis de mercados (I)</t>
  </si>
  <si>
    <t xml:space="preserve">Tationnement: Subastador walrasiano</t>
  </si>
  <si>
    <t xml:space="preserve">3.A.21</t>
  </si>
  <si>
    <t xml:space="preserve">La Teoría del Equilibrio General</t>
  </si>
  <si>
    <t xml:space="preserve">Funcion de Exceso de Demanda Agregada | Ley de WALRAS | Tatonnement en precios: General y reforzado | Informacion simetrica: Mercado de activos | Teoria del Equilibrio General (produccion): ARROW-DEBREU</t>
  </si>
  <si>
    <t xml:space="preserve">Equilibrio de Radner (1972)</t>
  </si>
  <si>
    <t xml:space="preserve">Equilibrio de RADNER | Desarrollo formal | Teoria del Equilibrio General: Modelo de comercio secuancial (RADNER)</t>
  </si>
  <si>
    <t xml:space="preserve">Teoría impositiva (V): Imposición óptima</t>
  </si>
  <si>
    <t xml:space="preserve">Base general: | La regla de RAMSEY | Una reinterpretacion de la regla de RAMSEY: Regla de la elasticidad inversa</t>
  </si>
  <si>
    <t xml:space="preserve">Regulación y Poder de mercado</t>
  </si>
  <si>
    <t xml:space="preserve">Ramsey-Boiteux (1956)</t>
  </si>
  <si>
    <t xml:space="preserve">Precios RAMSEY-BOITEAUX</t>
  </si>
  <si>
    <t xml:space="preserve">Impuesto sobre la Renta Personal: Desarrollo analitico (MIRRLESS, 1971)</t>
  </si>
  <si>
    <t xml:space="preserve">4.B.10</t>
  </si>
  <si>
    <t xml:space="preserve">Teoría impositiva (IV): Imposición y oferta</t>
  </si>
  <si>
    <t xml:space="preserve">Impuesto lineal óptimo (Stern 1976)</t>
  </si>
  <si>
    <t xml:space="preserve">Efecto incentivo al trabajo: Endogeneidad de la renta (STERN, 1987)</t>
  </si>
  <si>
    <t xml:space="preserve">Política Fiscal</t>
  </si>
  <si>
    <t xml:space="preserve">Politica fiscal: Gasto e Impuestos</t>
  </si>
  <si>
    <t xml:space="preserve">3.A.40</t>
  </si>
  <si>
    <t xml:space="preserve">Efectividad e interrelación de las Políticas Monetarias y Fiscales</t>
  </si>
  <si>
    <t xml:space="preserve">Multiplicador Fiscal: Modelo keynesiano basico | Interrelacion con la Politica Monetaria: Tipo de Interes | Estabilizadores automaticos: Balance estructural</t>
  </si>
  <si>
    <t xml:space="preserve">Teorías de la determinación del Tipo de Cambio</t>
  </si>
  <si>
    <t xml:space="preserve">Desarrollo formal: el Aspa Keynesiana</t>
  </si>
  <si>
    <t xml:space="preserve">El pensamiento económico de KEYNES</t>
  </si>
  <si>
    <t xml:space="preserve">Sistema keynesiano completo (Teoría General)</t>
  </si>
  <si>
    <t xml:space="preserve">Determinantes de la inversion: Incentivo a invertir | Efecto del atesoramiento</t>
  </si>
  <si>
    <t xml:space="preserve">3.A.5</t>
  </si>
  <si>
    <t xml:space="preserve">La síntesis neoclásica</t>
  </si>
  <si>
    <t xml:space="preserve">Primeros planteamientos | Economia cerrada | Economia abierta</t>
  </si>
  <si>
    <t xml:space="preserve">Politica Fiscal: Teoria</t>
  </si>
  <si>
    <t xml:space="preserve">Interrelacion con la Politica Monetaria: Tipo de Interes</t>
  </si>
  <si>
    <t xml:space="preserve">Déficit Público</t>
  </si>
  <si>
    <t xml:space="preserve">Blinder-Solow (1973)</t>
  </si>
  <si>
    <t xml:space="preserve">Revision de BLINDER y SOLOW (1973): SNC final</t>
  </si>
  <si>
    <t xml:space="preserve">Funcion de Perdida Social</t>
  </si>
  <si>
    <t xml:space="preserve">Economía del Bienestar (II)</t>
  </si>
  <si>
    <t xml:space="preserve">Modelo de Deficit Publico: Problemas de Inconsistencia Dinamica</t>
  </si>
  <si>
    <t xml:space="preserve">Supuestos | Actualizacion de las expectativas y reaccion | Funcion de Oferta Agregada de LUCAS: Reaccion conjunta | Curvas de Oferta y Demanda Agregada. LUCAS</t>
  </si>
  <si>
    <t xml:space="preserve">Teorías de los ciclos económicos</t>
  </si>
  <si>
    <t xml:space="preserve">Ciclos nominales: Curva de Oferta de LUCAS</t>
  </si>
  <si>
    <t xml:space="preserve">La nueva economía Keynesiana</t>
  </si>
  <si>
    <t xml:space="preserve">Curva IS ampliada por expectativas | Curva de PHILLIPS de la NEK | Modificaciones: Curvas de PHILLIPS hibridas | Regla de TAYLOR: Autoridad monetaria | Deseabilidad del Equilibrio: Principio de TAYLOR | Deseabilidad del Equilibrio</t>
  </si>
  <si>
    <t xml:space="preserve">3.A.28</t>
  </si>
  <si>
    <t xml:space="preserve">La tasa natural de paro y de la NAIRU</t>
  </si>
  <si>
    <t xml:space="preserve">Hogares | Los flujos en el mercado de trabajo | Empresa | Determinacion de salarios | Persistencia del desempelo: NEK-2 | Inflacion y desempleo | Perturbaciones macroeconomicas</t>
  </si>
  <si>
    <t xml:space="preserve">3.A.37</t>
  </si>
  <si>
    <t xml:space="preserve">Política Monetaria (II)</t>
  </si>
  <si>
    <t xml:space="preserve">La cuantificacion de sus efectos: modelo de la NEK-2</t>
  </si>
  <si>
    <t xml:space="preserve">La inflación</t>
  </si>
  <si>
    <t xml:space="preserve">Shocks de oferta: Marco NEK-2 | Modelo NEK-2: ZLB y forward-guidance | NEK-2: Efectos sobre la Eficiencia y el Bienestar | Implicaciones de Politica Economica</t>
  </si>
  <si>
    <t xml:space="preserve">Modelo canonico: Derivacion analitica | Regla de Taylor: Autoridad Monetaria | ¿Divina Coincidencia? Politica Monetaria y Shocks</t>
  </si>
  <si>
    <t xml:space="preserve">Modelización dinámica de las tomas de decisiones</t>
  </si>
  <si>
    <t xml:space="preserve">Variaciones en la renta ( w )</t>
  </si>
  <si>
    <t xml:space="preserve">Teorías de la demanda de consumo corriente</t>
  </si>
  <si>
    <t xml:space="preserve">Hipotesis de la Renta Permanente: FRIEDMAN</t>
  </si>
  <si>
    <t xml:space="preserve">Paseo aleatorio del consumo (Hall 1978)</t>
  </si>
  <si>
    <t xml:space="preserve">Paseo aleatorio: HALL | Limitaciones: Contrastacion Empirica</t>
  </si>
  <si>
    <t xml:space="preserve">Teorías de la inversión en bienes de equipo</t>
  </si>
  <si>
    <t xml:space="preserve">Opciones reales: McDONALD y SIEGEL (1986)</t>
  </si>
  <si>
    <t xml:space="preserve">La empresa y las decisiones de inversión</t>
  </si>
  <si>
    <t xml:space="preserve">Incertidumbre: Opciones reales</t>
  </si>
  <si>
    <t xml:space="preserve">3.A.27</t>
  </si>
  <si>
    <t xml:space="preserve">Determinación de salarios</t>
  </si>
  <si>
    <t xml:space="preserve">Trabajo germinal: SOLOW</t>
  </si>
  <si>
    <t xml:space="preserve">Shapiro-Stiglitz (1984)</t>
  </si>
  <si>
    <t xml:space="preserve">Modelo de referencia: SHAPIRO-STIGLITZ | Equilibrio: Condicion de no-escaqueo</t>
  </si>
  <si>
    <t xml:space="preserve">Extensiones a la Teoría del Mercado de Trabajo</t>
  </si>
  <si>
    <t xml:space="preserve">Modelo baseline -- MORTENSEN, 1970 | Funcion de emparejamiento | Equilibrio estacionario | Condicion del trabajador: salario de reserva | Condicion de creacion de empleo: Producto | Equilibrio negociador: Fijacion del salario</t>
  </si>
  <si>
    <t xml:space="preserve">Desempleo friccional: Enfoque parcial. Modelo DPM</t>
  </si>
  <si>
    <t xml:space="preserve">Curva salarial | Fijacion de precios</t>
  </si>
  <si>
    <t xml:space="preserve">Curva salarial: Sindicatos | Fijacion de precios: Empresas</t>
  </si>
  <si>
    <t xml:space="preserve">Optimizacion de los Hogares | Optimizacion de las Empresas | Equilibrio</t>
  </si>
  <si>
    <t xml:space="preserve">Teorías del crecimiento económico (I)</t>
  </si>
  <si>
    <t xml:space="preserve">Desarrollo analitico | Estado Estacionario | Analisis normativo</t>
  </si>
  <si>
    <t xml:space="preserve">Heterogeneidad de agentes | Ejemplo: Economia de intercambio puro</t>
  </si>
  <si>
    <t xml:space="preserve">Teorías de la demanda de dinero</t>
  </si>
  <si>
    <t xml:space="preserve">Modelo MGS: Economia pura de intercambio</t>
  </si>
  <si>
    <t xml:space="preserve">Economia sin Sector Publico: Ahorro voluntario | Neutralidad del Sector Publico: Sistema de Capitalizacion | Intervencion del Sector Publico: Sistema de Reparto</t>
  </si>
  <si>
    <t xml:space="preserve">Teorías del crecimiento económico (II)</t>
  </si>
  <si>
    <t xml:space="preserve">Supuestos | Desarrollo analitico | Funcion de SOBELOW</t>
  </si>
  <si>
    <t xml:space="preserve">Externalidades / learning-by-doing (Arrow 1962; Romer 1986)</t>
  </si>
  <si>
    <t xml:space="preserve">Externalidades de Capital ( K )</t>
  </si>
  <si>
    <t xml:space="preserve">Gasto público productivo (Barro 1990)</t>
  </si>
  <si>
    <t xml:space="preserve">Desarrollo analitico</t>
  </si>
  <si>
    <t xml:space="preserve">Los economistas clásicos y MARX</t>
  </si>
  <si>
    <t xml:space="preserve">Teoria de la Ventaja Comparativa</t>
  </si>
  <si>
    <t xml:space="preserve">Teoría del Comercio Internacional (I)</t>
  </si>
  <si>
    <t xml:space="preserve">Coste de oportunidad: Relaciones de transformacion | Ventaja comparativa | Implicaciones de Politica Economica: Aumento de la produccion | Autarquia: Desarrollo del modelo | Precios relativos: Produccion | Apertura comercial | Oferta y Demanda relativas: Determinacion del precio relativo</t>
  </si>
  <si>
    <t xml:space="preserve">Demanda: CES-isoelastica | Implicaciones de Politica Economica: Apertura al comercio | Modelo de MELITZ: Desarrollos auxiliares</t>
  </si>
  <si>
    <t xml:space="preserve">La Política Comercial (I)</t>
  </si>
  <si>
    <t xml:space="preserve">Marco ACR / "modelo ARA" (Arkolakis-Costinot-Rodríguez-Clare 2012)</t>
  </si>
  <si>
    <t xml:space="preserve">Modelo ARA: Equilibrio General</t>
  </si>
  <si>
    <t xml:space="preserve">Melitz-Ottaviano (2008)</t>
  </si>
  <si>
    <t xml:space="preserve">Demanda: CES-isoelastica | Condicion de libre entrada</t>
  </si>
  <si>
    <t xml:space="preserve">Productor | Condicion de libre entrada: Beneficio esperado | Modelo MELITZ-OTTAVIANO: Comercio intrasectorial y aranceles</t>
  </si>
  <si>
    <t xml:space="preserve">Teoría de la integración económica</t>
  </si>
  <si>
    <t xml:space="preserve">Marco de Equilibrio Parcial: efectos sobre la estructura del mercado</t>
  </si>
  <si>
    <t xml:space="preserve">Economia abierta: Modelo MUNDELL-FLEMING</t>
  </si>
  <si>
    <t xml:space="preserve">Balanza de Pagos (II)</t>
  </si>
  <si>
    <t xml:space="preserve">IS-LM-BP</t>
  </si>
  <si>
    <t xml:space="preserve">Modelo MUNDELL-FLEMING: Equilibrio General</t>
  </si>
  <si>
    <t xml:space="preserve">Mercado de Activos: Cuenta Financiera | Mercado de Bienes: Cuenta Corriente</t>
  </si>
  <si>
    <t xml:space="preserve">McKinnon (1969)</t>
  </si>
  <si>
    <t xml:space="preserve">Mercado de Activos: Cuenta Financiera</t>
  </si>
  <si>
    <t xml:space="preserve">El modelo de oferta y demanda agregada</t>
  </si>
  <si>
    <t xml:space="preserve">Politica Fiscal: FURLANETTO (2006)</t>
  </si>
  <si>
    <t xml:space="preserve">Pequeña economía abierta NK (Galí-Monacelli 2005)</t>
  </si>
  <si>
    <t xml:space="preserve">Economia pequena y abierta: GALI y MONACELLI (2005) | Curva IS: Optimizacion de los Hogares | Derivacion del modelo GALI y MONACELLI (2005) -- NOEM</t>
  </si>
  <si>
    <t xml:space="preserve">Modelo canonico: Derivacion analitica | ¿Divina Coincidencia? Politica Monetaria y Shocks</t>
  </si>
  <si>
    <t xml:space="preserve">Riesgo no diversificable: Obtencion</t>
  </si>
  <si>
    <t xml:space="preserve">3.B.4</t>
  </si>
  <si>
    <t xml:space="preserve">Análisis del crecimiento de la empresa</t>
  </si>
  <si>
    <t xml:space="preserve">Diversificacion del riesgo</t>
  </si>
  <si>
    <t xml:space="preserve">Análisis de los instrumentos financieros de renta variable</t>
  </si>
  <si>
    <t xml:space="preserve">Nueva medida de riesgo: la beta ( ) | Demostracion | Linea del mercado de activos (SML) | Gestion activa de carteras: busqueda de alpha y analisis fundamental</t>
  </si>
  <si>
    <t xml:space="preserve">3.B.15</t>
  </si>
  <si>
    <t xml:space="preserve">Análisis comparado de los distintos regímenes cambiarios</t>
  </si>
  <si>
    <t xml:space="preserve">Efectos: Modelo intertemporal de consumo con restricciones de capital</t>
  </si>
  <si>
    <t xml:space="preserve">3.B.29</t>
  </si>
  <si>
    <t xml:space="preserve">Financiación exterior del desarrollo económico</t>
  </si>
  <si>
    <t xml:space="preserve">Planteamiento del modelo con horizonte infinito | Analisis:</t>
  </si>
  <si>
    <t xml:space="preserve">Modelo de dos períodos (Obstfeld-Rogoff 1996)</t>
  </si>
  <si>
    <t xml:space="preserve">Modelo de OBSTFELD-ROGOFF: Dos periodos | Desarrollo grafico</t>
  </si>
  <si>
    <t xml:space="preserve">La curva de PHILLIPS</t>
  </si>
  <si>
    <t xml:space="preserve">Curva de PHILLIPS y sorpresa monetaria</t>
  </si>
  <si>
    <t xml:space="preserve">Descomposicion del desempleo: Desempleo y Tasa Natural | Desarrollo teorico de la Curva de PHILLIPS: LIPSEY (SNC)</t>
  </si>
  <si>
    <t xml:space="preserve">Shocks (negativos): Costes de produccion</t>
  </si>
  <si>
    <t xml:space="preserve">Aumentada con expectativas / tasa natural (Friedman 1968, Phelps 1967)</t>
  </si>
  <si>
    <t xml:space="preserve">Expectativas adaptativas</t>
  </si>
  <si>
    <t xml:space="preserve">Tasa natural de paro: FRIEDMAN</t>
  </si>
  <si>
    <t xml:space="preserve">Curva de Phillips neokeynesiana / híbrida</t>
  </si>
  <si>
    <t xml:space="preserve">Curva de PHILLIPS de la NEK | Modificaciones: Curvas de PHILLIPS hibridas</t>
  </si>
  <si>
    <t xml:space="preserve">Curva de PHILLIPS: Optimizacion de las empresas</t>
  </si>
  <si>
    <t xml:space="preserve">Curva de PHILLIPS: Empresas</t>
  </si>
  <si>
    <t xml:space="preserve">La Demanda de dinero | Mecanismos de Transmision: la Teoria Cuantitativa del Dinero</t>
  </si>
  <si>
    <t xml:space="preserve">Enfoque Neoclasico: la Teoria Cuantitativa del Dinero</t>
  </si>
  <si>
    <t xml:space="preserve">Limitaciones: Enfoque Monetario</t>
  </si>
  <si>
    <t xml:space="preserve">Neocuantitativismo (Friedman 1956)</t>
  </si>
  <si>
    <t xml:space="preserve">Enfoque Monetarista: Neocuantitativismo</t>
  </si>
  <si>
    <t xml:space="preserve">Enfoque Monetarista</t>
  </si>
  <si>
    <t xml:space="preserve">3.A.3</t>
  </si>
  <si>
    <t xml:space="preserve">Los economistas neoclásicos</t>
  </si>
  <si>
    <t xml:space="preserve">Saldos reales de Cambridge (M = kPY)</t>
  </si>
  <si>
    <t xml:space="preserve">Teoria del dinero</t>
  </si>
  <si>
    <t xml:space="preserve">Financiacion del gasto: Equivalencia Ricardiana</t>
  </si>
  <si>
    <t xml:space="preserve">¿Cual es la mejor forma de financiar el Gasto del Estado?: Equivalencia Ricardiana</t>
  </si>
  <si>
    <t xml:space="preserve">Equivalencia Ricardiana: Politica Fiscal expansiva (ejemplo)</t>
  </si>
  <si>
    <t xml:space="preserve">Deficit Publico: Marco General | Deficit Publico: Conceptos | Inflacion | Ciclo Economico | Aportaciones de KEYNES | Monetarismo | Politica Fiscal y Politica Monetaria: Vinculo | Dinamica del Deficit Publico | Sostenibilidad de la Deuda Publica | Deuda Publica: Economia Cerrada | Deficit Publico: Economia Abierta</t>
  </si>
  <si>
    <t xml:space="preserve">Deuda externa: brecha de absorción</t>
  </si>
  <si>
    <t xml:space="preserve">Ajustes: ¿Como podemos evitar una crisis de deuda?</t>
  </si>
  <si>
    <t xml:space="preserve">3.A.17</t>
  </si>
  <si>
    <t xml:space="preserve">Análisis de mercados (II)</t>
  </si>
  <si>
    <t xml:space="preserve">Desarrollo formal | Condiciones necesarias: CPO | Indice de Lerner | Mercado de factores: Ineficiecia asignativa | Demandas dependientes y costes separables</t>
  </si>
  <si>
    <t xml:space="preserve">Poder de mercado</t>
  </si>
  <si>
    <t xml:space="preserve">Discriminación de precios</t>
  </si>
  <si>
    <t xml:space="preserve">Discriminacion de primer grado: Informacion perfecta</t>
  </si>
  <si>
    <t xml:space="preserve">Monopsonio</t>
  </si>
  <si>
    <t xml:space="preserve">Impuesto sobre el consumo</t>
  </si>
  <si>
    <t xml:space="preserve">4.B.8</t>
  </si>
  <si>
    <t xml:space="preserve">Teoría impositiva (II): Traslación e incidencia de los impuestos en mercados competitivos y monopolistas</t>
  </si>
  <si>
    <t xml:space="preserve">¿Como depende la traslacion del precio? La determinacion del precio</t>
  </si>
  <si>
    <t xml:space="preserve">Burbujas financieras: BLANCHARD</t>
  </si>
  <si>
    <t xml:space="preserve">Formacion de Expectativas: Rules of thumb y Racionalidad | Burbujas especulativas: BLANCHARD</t>
  </si>
  <si>
    <t xml:space="preserve">Crisis financieras y pánicos bancarios</t>
  </si>
  <si>
    <t xml:space="preserve">Ex ante: Calidad creditica y asimetrias informativas | Provisiones contables: Perdidas esperadas | Capital regulatorio: Perdidas inesperadas</t>
  </si>
  <si>
    <t xml:space="preserve">3.B.27</t>
  </si>
  <si>
    <t xml:space="preserve">Regulación financiera y no-bancaria</t>
  </si>
  <si>
    <t xml:space="preserve">Riesgo de credito: Perdida esperadas/inesperadas</t>
  </si>
  <si>
    <t xml:space="preserve">Referencia original</t>
  </si>
  <si>
    <t xml:space="preserve">Tipo</t>
  </si>
  <si>
    <t xml:space="preserve">Epígrafe(s) donde se desarrolla</t>
  </si>
  <si>
    <t xml:space="preserve">Nº bloques de ecuaciones</t>
  </si>
  <si>
    <t xml:space="preserve">Muestra de la formalización (LaTeX)</t>
  </si>
  <si>
    <t xml:space="preserve">Original</t>
  </si>
  <si>
    <t xml:space="preserve">Preferencias Intertemporales: Funcion de Utilidad Intertemporal</t>
  </si>
  <si>
    <t xml:space="preserve">D(t)=\frac{1}{1+k\cdot t}</t>
  </si>
  <si>
    <t xml:space="preserve">Modelo de BECKER | Duracion optima de la formacion</t>
  </si>
  <si>
    <t xml:space="preserve">&amp;h(t)=\theta\;\sigma(t)\;h(t)\qquad \text{Donde,}\quad \begin{cases} \text{ $h(t)\equiv$ \; Designa el stock de capital humano, en $t$} \text{ $\theta\equiv \;$ Parámetro de eficiencia del individuo} \text{ $\sigma(t)\eq</t>
  </si>
  <si>
    <t xml:space="preserve">&amp;\boxed{ &amp;\max_{\{c_1, c_2, L_1, L_2\}}{U}=u(c_1, 1- L_1)+\beta(c_2, 1-L_2) &amp;\text{s.a.}\quad c_1+\frac{1}{1+r}c_2=w_1L_1+\frac{1}{1+r}w_2L_2 }\to\text{Resolvemos por}\; \mathcal{L}\;\text{y obtenemos CPO's} &amp;\boxed{\fra</t>
  </si>
  <si>
    <t xml:space="preserve">&amp;\text{\textbf{Definición:} Función de oferta de trabajo Marshalliana o no compensada} &amp;\hspace{10em}\boxed{ L^*=\Gamma(w,R_0)}</t>
  </si>
  <si>
    <t xml:space="preserve">Variante</t>
  </si>
  <si>
    <t xml:space="preserve">&amp;\max_{\{C_t, L_t\}}{\sum_{t=0}^TU(C_t,L_t,t)} \qquad \text{s.a.}\quad (1+r_t)A_{t-1}+B_t+w_t(1-L_t)-C_t\leq A_t\quad \forall t \text{Donde,} \quad &amp;\begin{cases} A_t\equiv \;\text{Activos del agente} B_t\equiv \;\text{R</t>
  </si>
  <si>
    <t xml:space="preserve">&amp;\boxed{ &amp;\max U=U\left(m,\;\left\{\sum_{i=1}^Ix_i^\rho\right\}^{\frac{1}{\rho}}\right) &amp;\text{s.a.}\quad m+\sum_{i=1}^Ip_i\cdot x_i\leq m_0 } &amp;\text{(Solución: 2 Etapas)} &amp;\Longrightarrow \left\{ &amp;\underset{\text{ $S(\c</t>
  </si>
  <si>
    <t xml:space="preserve">&amp;\boxed{ &amp;\max U=U\left(m,\underbrace{\;\left\{\sum_{i=1}^Ix_i^\rho\right\}^{\frac{1}{\rho}}}_{V(\cdot)}\right) &amp;\text{s.a.}\quad m+\sum_{i=1}^Ip_i\cdot x_i\leq m_0 }\qquad \substack{\text{Problema dual}\\\text{del consu</t>
  </si>
  <si>
    <t xml:space="preserve">Análisis de mercados (IV)</t>
  </si>
  <si>
    <t xml:space="preserve">Desarrollo</t>
  </si>
  <si>
    <t xml:space="preserve">&amp;\boxed{ &amp;\max_{x_i}\Pi_i(x_i)=x_i\cdot P^d_x(x_i+x_{-i})-C_i(x_i) &amp;\text{s.a.}\qquad \Pi_i(x_i)\ge 0 }\qquad \text{si,}\; \left\{ &amp;\Pi_i(x_i)\in\mathcal C^2\quad \text{y,}\quad \frac{\partial^2 \Pi_i(x_i)}{\partial^2 x_</t>
  </si>
  <si>
    <t xml:space="preserve">Variaciones conjeturales (Bowley 1924)</t>
  </si>
  <si>
    <t xml:space="preserve">Variacion conjentural: ¿Que es? Derivacion analitica</t>
  </si>
  <si>
    <t xml:space="preserve">&amp;\text{Empresa 1}:&amp;&amp;F_1(x_1,x_2,\gamma_1)\equiv \frac{\partial r_1}{\partial x_1}+\gamma_1\frac{\partial r_1}{\partial x_2}-c_1'(x_1)=0 &amp;&amp;&amp;\underset{\substack{\text{ podemos resolver}\\\text{ para $x_1$ como función de $</t>
  </si>
  <si>
    <t xml:space="preserve">Desarrollo formal</t>
  </si>
  <si>
    <t xml:space="preserve">&amp;\boxed{ &amp;\max_{p_i}\Pi_i(p_,p_{-i})=p_iD_i(p_i,p_{-i})-C_i(D_i(p_i,p_{-i})) &amp;\text{s.a.}\qquad \Pi_i(x_i)\ge 0 }\qquad \text{si,}\; \left\{ &amp;\Pi_i(x_i)\in\mathcal C^2\quad \text{y,}\quad \frac{\partial^2 \Pi_i(x_i)}{\pa</t>
  </si>
  <si>
    <t xml:space="preserve">Costes de transporte: lineales | Costes de transporte: Cuadraticos | Modelos espaciales: Resolucion analitica</t>
  </si>
  <si>
    <t xml:space="preserve">&amp;p_i+t\cdot\tilde x=p+t\left(\frac{1}{n}-\tilde x\right)\Longrightarrow t\left(2\tilde x-\frac{1}{n}\right)=p-p_i\Longrightarrow \tilde x=\frac{1}{2n}+\frac{p-p_i}{2t} &amp;\overset{\substack{\text{ Como $i$ tiene el}\\\text</t>
  </si>
  <si>
    <t xml:space="preserve">Ciudad circular (Salop 1979)</t>
  </si>
  <si>
    <t xml:space="preserve">Implicaciones de Politica Economica</t>
  </si>
  <si>
    <t xml:space="preserve">T=n\cdot 2\cdot \int_{0}^{(1/2)\cdot n}t\cdot x\cdot \mathrm dx=n\cdot t\left(\frac{1}{2n}\right)^{2}=\frac{t}{4n}</t>
  </si>
  <si>
    <t xml:space="preserve">Planteamiento del problema de optimizacion | Ejemplo: Desarrollo grafico | Beneficio: Principal</t>
  </si>
  <si>
    <t xml:space="preserve">\boxed{ \max_{\{e_i,w(x)\}}\quad \mathbb E[\underbrace{x\;|\;e_i}_{p_n(e_i)}]-\mathbb E[w(x\;|\;e_i)] \text{s.a.}\quad \left\{ &amp;\text{RP:}&amp;&amp;\bar U\leq \mathbb E[u(w(x\;|\;e_i))-v(e_i)]\qquad \forall i &amp;\text{RCI:}&amp;&amp; e\in</t>
  </si>
  <si>
    <t xml:space="preserve">Holmström (1979) — condiciones de primer orden</t>
  </si>
  <si>
    <t xml:space="preserve">Casos particulares: Analisis de las CPO's (HOMSTROM)</t>
  </si>
  <si>
    <t xml:space="preserve">\frac{\partial}{\partial e}\mathbb E[u(w(x\;|\;e))-v(e)]=0 \mathbb E[u'(w(x\;|\;e))\frac{\partial w(x\;|\;e)}{\partial e}+u'(w(x\;|\;e))\frac{\partial x}{\partial e}]=v'(e)</t>
  </si>
  <si>
    <t xml:space="preserve">Screening monopolístico (Mussa-Rosen 1978)</t>
  </si>
  <si>
    <t xml:space="preserve">Planteamiento del problema de optimizacion</t>
  </si>
  <si>
    <t xml:space="preserve">\boxed{ \max_{\{e(i),w_i\}}\quad \mathbb E[\Pi(x(e(i))-w_i)] \text{s.a.}\quad &amp;\text{RP:}&amp;&amp;\bar U\leq u(w_i)-v_i(e[i]) &amp;\text{RCI:}&amp;&amp; \underset{\forall i,k\in N,\;\;i\neq k}{u(w_k)-v_i(e_k)\leq u(w_i)-v_i(e_i)} }</t>
  </si>
  <si>
    <t xml:space="preserve">w_A=w(\mathbb E[i])\Longrightarrow\mathbb E[\Pi(i)]=w(\mathbb E[i])</t>
  </si>
  <si>
    <t xml:space="preserve">&amp;\underset{\text{ esquema de compensación del directivo}}{\boxed{M=(1+r)\gamma_0V_0+\gamma_1\tilde V_1}}\qquad :\,\,\,\tilde V_1= \left\{ &amp;V_1 &amp;&amp;\text{si}\,\,B_0\leq V_1\\ &amp;V_1-L &amp;&amp;\text{si}\,\,B_0&gt; V_1 \right. &amp;\text{do</t>
  </si>
  <si>
    <t xml:space="preserve">z(p_x)=x(p_x)−Q(p_x)</t>
  </si>
  <si>
    <t xml:space="preserve">&amp;\text{FED Individual: }\;\underset{\text{ Se puede interpretar como: \textit{Lo que desearía menos lo que inicialmente poseo}}}{\boxed{z_i(\mathbf p)\in\mathbb R^L\equiv \underset{\text{ Función de Demanda Walrasiana}}{</t>
  </si>
  <si>
    <t xml:space="preserve">&amp;\text{Condiciones de RADNER} &amp;\underbrace{\left( &amp;\text{(1)}\;\;\exists \mathbf z=(z_1,\ldots,z_S)\in\mathbb R^S&amp;&amp;\text{mercado contingente en $t=0$} &amp;\text{(2)}\;\;\exists \mathbf x=(x_{11},\ldots,x_{1L}, \ldots,x_{S1}</t>
  </si>
  <si>
    <t xml:space="preserve">Análisis de las tablas Input-Output</t>
  </si>
  <si>
    <t xml:space="preserve">Representacion matematica: Operadores | Los coeficientes tecnicos | Coeficientes de CHENERY y WATANABE</t>
  </si>
  <si>
    <t xml:space="preserve">&amp;\text{Eslabonamiento hacia atrás}: &amp;\underbrace{\mu_j=\frac{\sum_ix_{ij}}{X_j}=\frac{\text{Consumos Intermedios}_j}{X_j}}_{\text{Proporción de los \textit{inputs} intermedios sobre $X_j$}}\quad \Longrightarrow\quad \box</t>
  </si>
  <si>
    <t xml:space="preserve">Teoría de los costes</t>
  </si>
  <si>
    <t xml:space="preserve">Modelo basico</t>
  </si>
  <si>
    <t xml:space="preserve">&amp;\boxed{ &amp;\max\qquad \theta_j=\frac{\sum_{m=1}^My_m^ju_m^j}{\sum_{n=1}^Nx_n^jv_n^j} &amp;\text{s.a.}\qquad \begin{cases} \frac{\sum_{m=1}^My_m^ju_m^j}{\sum_{n=1}^Nx_n^jv_n^j}\leq1\qquad \forall k=1,\dots,K \text{ $ &amp;0\ll(y_1</t>
  </si>
  <si>
    <t xml:space="preserve">Modelo</t>
  </si>
  <si>
    <t xml:space="preserve">\boxed{y_i=f(\vec{x_i},\vec\beta)\cdot e^{v_i}\cdot E_i} &amp;y,x\equiv \text{Inputs y outputs del productor $i$} &amp;\underset{\text{ Debe venir explícitamente definida, por lo que es una limitación importante}}{f(\vec{x_i})\e</t>
  </si>
  <si>
    <t xml:space="preserve">Desarrollo formal: Empresa publica</t>
  </si>
  <si>
    <t xml:space="preserve">&amp;\boxed{ &amp;\max_{\{(\underline{t},\underline{q},\underline{C},\underline{c},\underline{U}),(\overline{t},\overline{q},\overline{C},\overline{c},\overline{U})\}}W=\nu\cdot W(\underline{t},\underline{q},\underline{C},\under</t>
  </si>
  <si>
    <t xml:space="preserve">&amp;\frac{1}{2}\Delta x[u_x+(u_x+1)]=\frac{1}{2}\Delta x(2u_x+1)=\Delta xu_x+\underset{{ \text{pequeño, $\approx0$}}}{\frac{1}{2}\Delta x}\approx\Delta xu_x &amp;\underset{{ \text{los dos miden la pendiente de $D_x$}}}{\frac{1}</t>
  </si>
  <si>
    <t xml:space="preserve">\boxed{ &amp;\max W(\mathbf p, \mathbf q)=\sum_{i=1}^I\left(\int_{0}^{q_i(p_i)}P_i^d(x)\mathrm dx\right)-\sum_{i=1}^Ic_iq_i &amp;\text{s.a.}\quad \underbrace{\sum_{i=1}^I(p_i-c_i)q_i(p_i)}_{\text{ mark-ups acumulados}}\ge{F} } &amp;</t>
  </si>
  <si>
    <t xml:space="preserve">&amp;\max_T W=\int_{w_0}^{w_m}G\left(V(w,T(w\cdot L^*))\right)f(w)\mathrm dw &amp;\text{s.a.}\quad \left\{ &amp;\int_{w_0}^{w_m}T(w\cdot L^*)f(w)\mathrm w\geq B &amp;V(w,T(w\cdot L^*))=U(C^*,L^*) \right. &amp;\text{tal que},\quad (C^*,L^*)=</t>
  </si>
  <si>
    <t xml:space="preserve">\text{Ingresos} = −\alpha + t × \text{Renta}</t>
  </si>
  <si>
    <t xml:space="preserve">Definicion: Fallo de Mercado</t>
  </si>
  <si>
    <t xml:space="preserve">&amp;\underset{\substack{\text{ Enfoque Parcial}\\\text{ bien frente numerario}}}{\text{Óptimo}}:\qquad \underset{\substack{\text{ Nótese que sumamos verticalmente las funciones}\\\text{ a diferencia de horizontalmente, porq</t>
  </si>
  <si>
    <t xml:space="preserve">Lindahl (1919)</t>
  </si>
  <si>
    <t xml:space="preserve">Mecanismo de revelacion: Precios LINDAHL</t>
  </si>
  <si>
    <t xml:space="preserve">&amp;\text{Si,}\quad \exists \;\;(p_i^{**},h_i^{**})\quad \forall i: &amp;&amp;\underset{\substack{\text{ existen mercados para cada consumidor}\\\text{ y cada uno consume, al precio, $p_i^{**}$ (personal)}\\\text{ el total del bien</t>
  </si>
  <si>
    <t xml:space="preserve">&amp;\text{Enfoque keynesiano:}\quad \tilde k\;\;;\;\;i(\substack{\text{ Fenómeno}\\\text{ Monetario}})\;\Rightarrow \begin{cases} \varepsilon_{m^d,i}\gg1\\ \varepsilon_{I,i}\sim0 \end{cases}\;\Rightarrow \underbrace{\frac{\</t>
  </si>
  <si>
    <t xml:space="preserve">&amp;\hspace{18em}\boxed{\uparrow g_t\iff\uparrow b_t} &amp;\text{ $ &amp; &amp;\hspace{5em}\text{\textbf{KEYNESIANISMO}} &amp;\overbrace{m_t^d(y_t,i_t)}^{\text{ $m_t^D=k\;[m_t^T(y_t)+m_t^P(y_t)]+h\;m_t^E(i_t)$}}\;\Rightarrow\; \begin{cases</t>
  </si>
  <si>
    <t xml:space="preserve">&amp;\left( &amp;\underset{\text{ Equilibrio: comercial $\Rightarrow$ total}}{\text{Economía insular:}} &amp;&amp;BP=E\left(\underbrace{\frac{E\;P^*}{P}}_{e}, \;Y,\;Y^*\right)=0\;\Longrightarrow\;E=X(e, \;Y^*)-M(e,\;Y) &amp;\text{Pero, } &amp;&amp;</t>
  </si>
  <si>
    <t xml:space="preserve">P=CMg=\frac{W}{PMg_L}</t>
  </si>
  <si>
    <t xml:space="preserve">M=L(I,i); \quad I_x=C(i); \quad I_x=S(I)\qquad \text{donde,} \begin{cases} M\equiv \;\text{ Cantidad de dinero} I_x\equiv \;\text{ Valor de inversiones} I\equiv \;\text{ Renta total} i\equiv \;\text{ Tipo de interés} \en</t>
  </si>
  <si>
    <t xml:space="preserve">&amp;\text{Multiplicador de Gasto Público:}\qquad &amp;&amp;{\boxed{g=\frac{\partial Y}{\partial G}=\frac{1}{1-c(1-t)+b (k/h)}&gt;0}} &amp;\text{Multiplicador de Impuestos ($T$)}:\qquad &amp;&amp;\boxed{\tau=\frac{\partial Y}{\partial T}=\frac{-c}</t>
  </si>
  <si>
    <t xml:space="preserve">&amp;G_t+i_{t-1}B_{t-1}=T_t+(B_t-B_{t-1})+(M_t-M_{t-1}) &amp;\text{En situación de Equilibrio Presupuestario:}\qquad \boxed{G+iB=T(Y)} &amp;\uparrow G\;\Longrightarrow\;\frac{\partial Y}{\partial G}=\frac{1}{T}\left[1+\frac{\partial</t>
  </si>
  <si>
    <t xml:space="preserve">Ciclos Reales: Modelo canonico | Optimizacion de los hogares | Perturbacion tecnologica: Efectos sobre la condicion de EULER | Optimizacion de las empresas</t>
  </si>
  <si>
    <t xml:space="preserve">\boxed{a_t=a_t^g+a_t^c}\qquad \text{donde}\quad \boxed{a_t^c=\rho_aa_{t-1}^c+u_t^a}\qquad \left\{ &amp;u_t^a\sim N(0,\sigma_a)&amp;&amp;\equiv\text{Perturbación estocástica} &amp;\rho_a&amp;&amp;\equiv\underset{\text{ resultados muy sensibles a</t>
  </si>
  <si>
    <t xml:space="preserve">&amp;\boxed{ &amp;\min_{\{\pi, U\}}{L(\pi, U)}=(U^*-U_t)+\alpha(\pi^*-\pi_t) &amp;\text{s.a}\quad \underbrace{U=U_n+\frac{1}{\alpha}(\pi-\pi^e)}_{\text{Curva de PHILLIPS}} } &amp;\text{Y,}\quad \exists(\pi, U)\;\;\forall\pi^e L=(U_t-U^*</t>
  </si>
  <si>
    <t xml:space="preserve">&amp;U_i=\sum_{t=1}^2\alpha_iu(X_t)+(1-\alpha_i)u(Y_t),\quad \text{donde,} \left\{ 0\leq \alpha_i \leq 1 U'_i(\cdot)&gt;0 U''_i(\cdot)&lt;0 \right. &amp;\text{s.a.} \underset{\text{ podemos suponer que $W_1=W_2$}}{\left\{ &amp;t_1&amp;&amp;\equiv</t>
  </si>
  <si>
    <t xml:space="preserve">&amp;\text{Consideramos que los shocks idiosincráticos/locales se cancelan en promedio:}\quad \int z_t\mathrm{d}z=0 &amp;\text{Entonces,}\qquad \boxed{y_t^s=\beta(1-\theta)[p_t-E[p_t\;|\;\Omega_t]]}, \quad \beta\equiv\varepsilon</t>
  </si>
  <si>
    <t xml:space="preserve">&amp;\text{Curva de Oferta de LUCAS}:&amp;&amp;\boxed{y_t^s=\beta(1-\theta)(p_t-\mathbb E_t[p_t])} \quad \beta\equiv\varepsilon_{S}</t>
  </si>
  <si>
    <t xml:space="preserve">Modelo de Costes de Menu: MANKIW</t>
  </si>
  <si>
    <t xml:space="preserve">&amp;\text{En $t_0$, la empresa ($i$) planifica:}\;\;q_{i}^e(p_{i})=E[q_{i}(p_i)\;|\;\Omega_t] &amp;\Longrightarrow\boxed{\max_{\pi}{\pi_i=p_i\;q_{i}^e-c\;q_{i}^e}\;;\quad \text{s.a.}\; \pi_i\ge0}</t>
  </si>
  <si>
    <t xml:space="preserve">Blanchard-Kiyotaki (1987)</t>
  </si>
  <si>
    <t xml:space="preserve">Modelo combinado de efectos agregados. BLANCHARD-KIYOTAKI</t>
  </si>
  <si>
    <t xml:space="preserve">&amp;\text{Partiendo de la ecuación cuantitativa del dinero:}\; M^d\;V=P\;Y^d; &amp;\text{(Consideramos $V$ constante):}\quad \boxed{Y_i^d=\underbrace{\left(\frac{M^d}{P}\right)}_{\text{ Demanda Agregada}}\;\cdot\;\underbrace{\l</t>
  </si>
  <si>
    <t xml:space="preserve">\text{Condición de unicidad:}\qquad \underbrace{\boxed{\phi+\frac{1-\beta}{\delta}&gt;1}}_{\text{Garantiza el Principio de TAYLOR}}</t>
  </si>
  <si>
    <t xml:space="preserve">\boxed{ &amp;\max_{U}{\sum_{t=0}^{\infty}\beta^t\;U(C_t,L_t)} \text{s.a.}\; &amp;\begin{cases} \text{(1ero): Elección entre variedades} \text{(2ndo):} \; C_t+\frac{Q_t\;B_t}{P_t}\leq\frac{B_{t-1}}{P_{t-1}}+W_t\;N_t \end{cases} }</t>
  </si>
  <si>
    <t xml:space="preserve">&amp;\text{Curva IS:}\quad &amp;&amp;\boxed{x_t=-\frac{1}{\sigma}\left(\underbrace{i_t-E[\pi_{t+1}\;|\;\Omega_t]}_{r_t}-\overbrace{r_t^n}^{\rho}\right)+E[x_{t+1}\;|\;\Omega_t]} &amp;\underbrace{\text{CP de la NEK-2:}}_{\sim\text{Función</t>
  </si>
  <si>
    <t xml:space="preserve">s_t=(1-\alpha)(1^{-\theta})+\alpha (1^\theta) s_{t-1}\Longrightarrow s_t=(1-\alpha)+\alpha s_{t-1}\overset{\substack{\text{ Si es creíble,}\\\text{ en algún momento $s_{t-1}=1$}}}{\Longrightarrow}\boxed{s_{t\to\infty}=(1</t>
  </si>
  <si>
    <t xml:space="preserve">&amp;\text{Regla de TAYLOR}:&amp;&amp;\boxed{r_t=\phi_\pi\mathbb E[\pi_{t+1}]+\phi_{x}\mathbb E_t[x_{t+1}]} &amp;\text{Donde,} &amp;&amp;\left. &amp;(\phi_\pi,\phi_x)\in[0,1]:(1-\phi_\pi)=\phi_x&amp;&amp;\equiv \text{Parámetros de ponderación} \right. &amp;\te</t>
  </si>
  <si>
    <t xml:space="preserve">C_t=c_0+c'\;Y_t</t>
  </si>
  <si>
    <t xml:space="preserve">&amp;\text{Consumo si $\rho=r_t=r$:}\qquad c_t=\bar c=\left(\frac{r}{1+r}\right)\;\alpha\;W_t\\ &amp;\text{ donde $W_t$ la riqueza total del consumidor (rentas acumuladas y rentas futuras actualizadas)}\\</t>
  </si>
  <si>
    <t xml:space="preserve">&amp;\left. &amp;\hspace{10em}\text{INDIVIDUAL}\\ &amp;\over \\ &amp;\text{Renta}:Y_{i,t}^P=r\cdot W_{i,t}\quad \text{y,}\quad Y_{i,t}=Y_{i,t}^P+Y_{i,t}^T &amp;\text{Consumo}:C_{i,t}^P=k\cdot Y^P_{i,t}\quad \text{y,}\quad C_{i,t}=C_{i,t}^P+</t>
  </si>
  <si>
    <t xml:space="preserve">&amp;\left\{ &amp;\max U(0)=\sum_{t=0}^T u(c_t)\beta^t &amp;\text{s.a.}\quad \left\{ &amp;A_t=(1+r)A_{t-1}+y_t-C_t\\ &amp;A_0=\bar A&gt;0\\ &amp;A_T=0 \right. \right\}\overset{(\beta_t=\frac{1}{1+\rho})}{\Longrightarrow} \text{CPO}:\frac{\mathrm d</t>
  </si>
  <si>
    <t xml:space="preserve">Teoria del Ciclo Vital: ANDO y MODIGLIANI</t>
  </si>
  <si>
    <t xml:space="preserve">&amp;C_{i,t}=K_{i,t}^T\cdot W_{i,t},\qquad \text{donde,} \left\{ &amp;C_{i,t}\equiv \text{Consumo en $t$ de $i$} &amp;W_{i,t}^T\equiv \text{Riqueza, descontada a $t$, de $i$} &amp;\underset{\text{ $Cov(K_{i,t}^T,y_{i,t})=0\,$ no depende</t>
  </si>
  <si>
    <t xml:space="preserve">Q de TOBIN: Valor de mercado y coste de reposicion</t>
  </si>
  <si>
    <t xml:space="preserve">&amp;\underset{\text{ Q de TOBIN}}{\text{Formulación media}}:&amp;&amp; {q=\frac{\text{Valor de mercado}}{\text{Coste de reposición}}}\Longrightarrow \left\{ &amp;q&gt;1\equiv\text{Inversión rentable} &amp;q&lt;1\equiv\text{Inversión no rentable}</t>
  </si>
  <si>
    <t xml:space="preserve">Hayashi (1982)</t>
  </si>
  <si>
    <t xml:space="preserve">Teoria de la Inversion: Informacion perfecta | Desarrollo analitico: Costes de ajuste | Solucion analitica: HAMILTONIANO | Estabilidad del equilibrio: Unicidad de la senda de convergencia | Efectos de la Politica Monetaria | Efectos de la Politica Fiscal | Mercados perfectos: Implicaciones de Politica Economica | Costes hundidos (irreversibilidad) e Incertidumbre: Politica Fiscal</t>
  </si>
  <si>
    <t xml:space="preserve">&amp;\boxed{ &amp;\max_{I_t^o}\quad \underset{\text{ Si $\dot I_t=0$, tenemos que ${VAN_t}=\Pi_t=V\equiv$ Valor presente descontado de los beneficios futuros}}{{VAN}_t=\int_0^\infty e^{-rt}[P_xF(K_t)-rI_t^o-C(I_t^o)]\mathrm dt} </t>
  </si>
  <si>
    <t xml:space="preserve">\text{Optimalidad del proyecto}:q=\frac{V}{K}\quad \underset{\text{ con opción real}}{\Longrightarrow}\quad \left\{ (\checkmark)\iff q&gt;1+p_{\text{ opción}} (\mathrm X) \iff q\leq1+p_{\text{ opción}} \right. \Longrightarr</t>
  </si>
  <si>
    <t xml:space="preserve">&amp;[\text{Opción de posponer}\,|\,\text{Opción de crecer}\,|\,\text{Opción de renunciar}] &amp;\left. &amp;(1)&amp;&amp;S^*=S-V(CF_t) &amp;(2)&amp;&amp;V(I_0)=\frac{I_t}{(1+r)^t} &amp;(3)&amp;&amp;d_1=\frac{\ln[S^*/V(I_0)]}{\sigma\sqrt{t}} &amp;(4)&amp;&amp;d_2=d_1-\sigma\s</t>
  </si>
  <si>
    <t xml:space="preserve">Acelerador Financiero: BERNANKE y GETLEY</t>
  </si>
  <si>
    <t xml:space="preserve">&amp;y_t^s(z_t):&amp;&amp;z_t=c_t+b_t\quad \text{donde,} \left\{ &amp;z_t\equiv \text{Insumos de producción}\\ &amp;c_t\equiv\text{Flujo de efectivo}\\ &amp;b_t\equiv\text{Endeudamiento} \right. &amp;\underset{\text{ info. asim.: colateral}}{b_t\le</t>
  </si>
  <si>
    <t xml:space="preserve">Modelo de Inventario: Motivo transaccion</t>
  </si>
  <si>
    <t xml:space="preserve">&amp;\text{Costes de \textbf{transacción}:}\quad \boxed{\underbrace{b}_{\text{ CF}}\;\cdot\;\frac{Y}{k}=f(\overbrace{k}^{-})}\quad \text{ donde,} \begin{cases} k&amp;\equiv\text{ Valor real depósitos convertidos en dinero cada v</t>
  </si>
  <si>
    <t xml:space="preserve">Shopping-time</t>
  </si>
  <si>
    <t xml:space="preserve">Shopping-Time Models</t>
  </si>
  <si>
    <t xml:space="preserve">&amp;m_t^d=\frac{M^d}{P}=m(c,r)</t>
  </si>
  <si>
    <t xml:space="preserve">Utilidad Directa: Dinero en la Funcion de Utilidad (SIDRAUTSKY, 1967) | Implicaciones: Funcion de Demanda de Dinero</t>
  </si>
  <si>
    <t xml:space="preserve">\boxed{ &amp;\max_{c_t,m_t,b_t}U(0)=\sum_{t=0}^\infty \beta^tu(c_t,m_t)\quad \text{ (términos per cápita)} &amp;\text{s.a.}\quad \begin{cases} \underbrace{b_{t-1}(1+r_t)+m_{t-1}+w_tl_t=c_t+m_t+b_t}_{\text{ Equilibrio en Mcdo Fin</t>
  </si>
  <si>
    <t xml:space="preserve">Cash-In-Advance Models</t>
  </si>
  <si>
    <t xml:space="preserve">&amp;m_t&gt;c_t\longrightarrow s_t=0 &amp;m_t&lt;c_t\longrightarrow s_t=\infty \quad \Longrightarrow\quad \boxed{m_t&gt;c_t}</t>
  </si>
  <si>
    <t xml:space="preserve">Modelo de CAGAN | Hiperinflacion racional: Ingresos por senoreaje</t>
  </si>
  <si>
    <t xml:space="preserve">&amp;\text{Equilibrio en mercado monetario:}\;\left(\frac{M}{P}\right)^s=M^d(\overbrace{Y}^{(+)},\;\overbrace{r_t,\; E[\pi_{t+1}\;|\;\Omega_t]}^{(-)}) &amp;\underset{\text{Renta y $r_t$ cte.}}{\Longrightarrow}\left(\frac{M}{P}\r</t>
  </si>
  <si>
    <t xml:space="preserve">Comodin.- Tipo Impositivo Optimo | Implicaciones de Politica Economica: Suavizacion de la senda impositiva</t>
  </si>
  <si>
    <t xml:space="preserve">&amp;\boxed{ \min_{T_0, T_1, ...} E_t\sum_{t=0}^\infty\beta^tL\underbrace{\left(\frac{T_t}{Y_t}\right)}_{\text{ $\equiv\tau_t:$ Tipo impositivo}} \text{s.a.}\quad \sum_{t=0}^\infty\beta^tT_t=\sum_{t=0}^\infty\beta^tG_t+B_0 }</t>
  </si>
  <si>
    <t xml:space="preserve">&amp;\max_{\pi_i}{\pi_i=F(e(w)\;\cdot\;L)-w\;L} &amp;\text{De las CPO's:}\quad \frac{\partial \pi_i}{\partial L}=\frac{\partial \pi_i}{\partial w}\Longrightarrow\underbrace{\boxed{\frac{w\;\cdot\;e'(w)}{e(w)}=1}}_{\substack{\tex</t>
  </si>
  <si>
    <t xml:space="preserve">&amp;\text{Problema de la empresa (c/p):}\quad \max_{\{L,w\}}{F(e(w)\cdot L)-w\cdot L} \text{CPO's:} &amp;\begin{cases} &amp;\text{(1)}\quad F'(e(w)\cdot L)\cdot e(w)-w=0 \quad \Longrightarrow\quad \underbrace{F'(e(w)\cdot L)\cdot e</t>
  </si>
  <si>
    <t xml:space="preserve">\boxed{w(q,b,a,r,\bar e)}=\bar e\left(1+\frac{r+b+a}{q}\right) \underbrace{\Longrightarrow}_{a=\frac{N/L}{1-N/L}b} \bar e\left(1+\frac{r+b+\frac{N/L}{1-N/L}b}{q}\right)= \boxed{w(q,b,N,L,r,\bar e)}</t>
  </si>
  <si>
    <t xml:space="preserve">Derecho a gestionar (Nickell-Andrews 1983)</t>
  </si>
  <si>
    <t xml:space="preserve">Derecho a gestionar: NICKELL y ANDREWS</t>
  </si>
  <si>
    <t xml:space="preserve">&amp;\text{Función objetivo del sindicato:}\quad \max_{w}{V_s=\ell\;v(w)+(1-\ell)\;v(\bar w)}\qquad \text{donde,}\quad \ell=\min{\left(1,\frac{L}{N}\right)} &amp;\text{Función objetivo de la empresa:}\quad \max{\Pi=F(L)-wL}\qqua</t>
  </si>
  <si>
    <t xml:space="preserve">Negociación de Nash (1950)</t>
  </si>
  <si>
    <t xml:space="preserve">Enfoque axiomatico: NASH</t>
  </si>
  <si>
    <t xml:space="preserve">&amp;\text{Función solución de NASH:} \qquad \boxed{f:(G,d)\to u^N}\;, \quad \text{donde,} \begin{cases} (G,d)&amp;\equiv \;\text{ Soluciónes y utilidades cuando falla} u^N &amp;\equiv \quad &amp;\text{ Vector solución,}\\ &amp;\text{ con $</t>
  </si>
  <si>
    <t xml:space="preserve">Negociación eficiente (McDonald-Solow 1981)</t>
  </si>
  <si>
    <t xml:space="preserve">Eficiencia debil</t>
  </si>
  <si>
    <t xml:space="preserve">\max_{w,L}{\quad [F(L)-wL]^{1-\gamma}[V(w)-V(\bar w)]^\gamma L^\gamma}\quad \text{s.a.}\; 0\leq L\leq N\quad y \quad w\ge \bar w</t>
  </si>
  <si>
    <t xml:space="preserve">&amp;\left(\text{$\theta=\frac{v}{u}\equiv$ \textbf{Presión del mercado de trabajo}, tenemos:}\right) &amp;\hspace{2em}\begin{cases} &amp;\text{(1)}\qquad \boxed{q(\theta)=m\left(\frac{1}{\theta}, 1\right)}\quad \text{ Donde,}\quad </t>
  </si>
  <si>
    <t xml:space="preserve">\text{Evolución del desempleo:} \quad &amp;\dot u=\underbrace{\lambda(1-u)}_{\text{ Flujo de entrada: FED}}-\underbrace{\theta q(\theta)u}_{\text{ Flujo de salida: FSD}}\quad \sim\quad \boxed{\dot u=\lambda(1-u)-vq(\theta)} </t>
  </si>
  <si>
    <t xml:space="preserve">P=(1+M)CMg\quad \underbrace{\Longrightarrow}_{\substack{\text{ A corto plazo: $\bar K$}\\\text{ Si suponemos RCE: $Y=AN$}}}\quad \overbrace{\boxed{P=(1+M)\frac{W}{A}}}^{\text{Ecuación de precios}} \Longrightarrow\underbr</t>
  </si>
  <si>
    <t xml:space="preserve">&amp;P=(1+\mu)CMg\quad \underbrace{\Longrightarrow}_{\substack{\text{ A corto plazo: $\bar K$}\\\text{ Si suponemos RCE: $Y=AL$}}}\quad \overbrace{\boxed{SRD\to P=(1+\mu)\;\frac{W}{PMe_L}}}^{\text{Ecuación de precios}} &amp;\Lon</t>
  </si>
  <si>
    <t xml:space="preserve">ROY HARROD: Demanda Efectiva y crecimiento economico</t>
  </si>
  <si>
    <t xml:space="preserve">g^*=\frac{s}{c}\qquad \text{donde,}\; \begin{cases} g\equiv\quad \text{Tasa de crecimiento garantizada}; s\equiv\quad \text{Tasa de ahorro:}\; s=\frac{S}{Y}\;; c\equiv\quad \text{Ratio Marginal Capital-Producto:}\; c=\fr</t>
  </si>
  <si>
    <t xml:space="preserve">Supuestos y debates de las CAMBRIDGE | Desarrollo analitico | Estado Estacionario | Regla de Oro | Desarrollo</t>
  </si>
  <si>
    <t xml:space="preserve">&amp;\tilde c^*(s)=(1-s)f(\tilde k^*(s))=f(\tilde k^*(s))-sf(\tilde k^*(s))\underbrace{=}_{\substack{\text{ En el estado estacionario}\\\text{ $s(f(\tilde k^*))=(n+g+\delta)k$}}}f(\tilde k^*(s))-(n+g+\delta)\tilde k^*(s) &amp;\t</t>
  </si>
  <si>
    <t xml:space="preserve">\boxed{ \max U(0)=\int_0^\infty e^{-(\rho-n)t}u(c_t)\mathrm{d}t \text{s.a.}\;\; \begin{cases} \dot a_t=w_t-c_t+(r-n)a_t a_0=A \lim_{t\to\infty}v_ta_t=0 \end{cases} }</t>
  </si>
  <si>
    <t xml:space="preserve">&amp;\boxed{ &amp;\max_{c_t}U(0)=\int_0^\infty e^{-\theta t}u(c_t)\mathrm{d}t=\underbrace{\int_0^\infty e^{-\theta t}\frac{c_t^{1-\sigma-1}}{1-\sigma}\mathrm{d}t}_{\text{Suponemos FUI Isoelástica}} &amp;\text{s.a.}\quad \begin{cases</t>
  </si>
  <si>
    <t xml:space="preserve">\max_{\{c_t^J,c_t^V\}}U(0)=u(c_t^J)+\beta\; u(c_t^V) \text{s.a.} \begin{cases} c_t^J+\frac{c_t^V}{1+r}=e^J+\frac{e^V}{1+r} a_t^V=0 \end{cases}</t>
  </si>
  <si>
    <t xml:space="preserve">\boxed{ &amp;\max_{c_t^J,c_t^V}\;\;U(c_t^J,c_t^V)=u(c_t^J)+\beta \;u(c_t^V) &amp;\text{s.a.}\; \begin{cases} c_t^J+s_1=\tilde e_1 c_t^V=s_1(1+r) \end{cases} }</t>
  </si>
  <si>
    <t xml:space="preserve">&amp;\text{Función de Producción Agregada: }\quad Y_t=\underbrace{AK_t}_{\text{REBELO}}+\overbrace{BK_t^\alpha L_t^{1-\alpha}}^{\text{SOLOW}} &amp;\underbrace{\Longrightarrow}_{\text{ En términos pc}} \boxed{y_t=Ak_t+Bk_t^\alpha</t>
  </si>
  <si>
    <t xml:space="preserve">&amp;\text{Función de Producción Agregada:}\quad \underbrace{Y=AK^{\alpha+\eta} L^{1-\alpha}}_{\text{ Externalidad cuando $\uparrow K$, stock de capital}} &amp;\underbrace{\Longrightarrow}_{\text{ En términos \textit{pc}}}\quad </t>
  </si>
  <si>
    <t xml:space="preserve">\boxed{ &amp;\max_{c_t}\;U(0)=\int_0^\infty e^{-(\rho-n)t}\left(\frac{c_t^{1-\theta}-1}{1-\theta}\right) &amp;\text{s.a.}\quad \begin{cases} y=Ak^{\alpha}g^{1-\alpha}\qquad &amp;&amp;\text{Restricción de Producción} g=\tau \;y\qquad &amp;&amp;\</t>
  </si>
  <si>
    <t xml:space="preserve">Externalidades de Capital ( K ) | Supuestos | Desarrollo | Implicaciones</t>
  </si>
  <si>
    <t xml:space="preserve">&amp;\boxed{ &amp;\max_{\{c_t,\mu_t\}}U(0)=\int_{0}^\infty e^{-(\rho-n)t}\left(\frac{c_t^{1-\theta}}{1-\theta}\right)\mathrm{d}t &amp;\text{s.a.}\; \begin{cases} \dot k_t=Ak^\alpha(\mu_t H)^{1-\alpha}-c_t-(\delta_K+n)k_t \dot h_t=B(</t>
  </si>
  <si>
    <t xml:space="preserve">Productores finales | Empresas de bienes intermedios: I+D | Consumidores finales</t>
  </si>
  <si>
    <t xml:space="preserve">&amp;\text{(1) Fijamos el precio:}\quad P_{j,t}=\underbrace{\frac{1}{\alpha}}_{\varepsilon^D}&gt;1=CMg &amp;\text{(2) Introducimos el precio:}\quad P_{j,t}^*\to x_{j,t}^d=f(A,\alpha,P_{j,t},L)\Longrightarrow x_{j,t}^{d^*} &amp;\text{(3</t>
  </si>
  <si>
    <t xml:space="preserve">\left(\frac{a_1}{b_1}=\frac{a_2}{b_2}\right)\iff\left(\frac{b_1}{a_1}=\frac{b_2}{a_2}\right)\iff\left(\frac{a_1}{a_2}=\frac{b_1}{b_2}\right)\iff \left(\frac{a_2}{a_1}=\frac{b_2}{b_1}\right)\;\;\text{y}\;\; \left(\frac{a_</t>
  </si>
  <si>
    <t xml:space="preserve">\left. &amp;\text{Tecnología A}:\\ &amp;\over &amp;\text{Agricultura}:&amp;&amp; \frac{1}{10}\cdot 5={0.5} &amp;\text{Manufactura}:&amp;&amp; \frac{1}{5}\cdot 10={2} &amp;\Longrightarrow\boxed{({\text{RMT}_M^A})_A=\frac{10}{5}=2} \hspace{1em}\right| \hspac</t>
  </si>
  <si>
    <t xml:space="preserve">Autarquia: Desarrollo formal | Equilibrio: Salarios y asignacion del trabajo | Ganancias agregadas: Conjunto de consumo y compensaciones</t>
  </si>
  <si>
    <t xml:space="preserve">&amp;PMgL_j\cdot p_j=w_j\qquad \Longrightarrow\qquad \text{Si,}\,\,\,PMgL_j\cdot p_j&lt;PMg_{-j}\cdot p_{-j}\,\,\Longrightarrow\,\,L_j\to L_{-j} &amp;\Longrightarrow\qquad w_j=w_{-j}\Longrightarrow PMgL_{j}\cdot p_j=PMg_L{-j}\cdot </t>
  </si>
  <si>
    <t xml:space="preserve">Autarquia: Desarrollo formal | Distribucion de la renta: Efecto STOLPER-SAMUELSON</t>
  </si>
  <si>
    <t xml:space="preserve">&amp;(p_M/p_A)^2&gt;(p_M/p_A)^1\Longrightarrow (w/r)^2&gt;(w/r)^1 &amp;\text{En un EGC}:\,\,\,\frac{w}{p_j}=PMgL_j\qquad \text{y,}\qquad \frac{r}{p_j}=PMgK_j &amp;\text{Si,}\quad\underset{\text{ efectivamentepasa: mirar gráfico}}{(L_j/K_j</t>
  </si>
  <si>
    <t xml:space="preserve">Condicion de libre entrada | Equilibrio: Vaciamiento de mercado(s) | Implicaciones de Politica Economica: Apertura comercial</t>
  </si>
  <si>
    <t xml:space="preserve">&amp;\underset{\text{\tiny Mercado de variedades, determinado por el tamaño del mercado}}{\text{Condición de Demanda (\textit{intersectorial})}}: &amp;&amp; X_i^D=X_j^S\qquad\Longrightarrow \quad \boxed{X_i^D=\frac{N}{pI}=X_j^S} &amp;\u</t>
  </si>
  <si>
    <t xml:space="preserve">&amp;\text{Demanda de $i$}:\qquad \boxed{x_i=\underbrace{\frac{m_0S(\mathbf p)}{\mathbf p}}_{\text{ D-base}}\cdot \underbrace{\left(\frac{\mathbf p}{p_i}\right)^\sigma}_{\text{ D-relativa}}}\quad\Longrightarrow\quad X_i^D=\f</t>
  </si>
  <si>
    <t xml:space="preserve">&amp;\hat{\varphi}_{ii}^* =-\frac{\rho(\beta_j+\rho)}{\Xi}\,\hat{\theta}_{ji},\qquad\hat{\varphi}_{jj}^* =-\frac{\rho(\beta_i-\rho \alpha_i)}{\Xi}\,\hat{\theta}_{ji},\qquad\hat{w}_i =\frac{\rho^2(\beta_i+\alpha_i\beta_j)}{\X</t>
  </si>
  <si>
    <t xml:space="preserve">&amp;p_i^h = \alpha - \gamma x_i^h - \eta X^h\quad\Longrightarrow\quad \boxed{x_i^h = \frac{L^h}{\gamma}(p_{\max}^h - p_i^h)} &amp;\text{donde,}\quad p_{\max}=\alpha-\eta X^h=\frac{\gamma\alpha+\eta N^h\bar p}{\eta N^h+\gamma}\q</t>
  </si>
  <si>
    <t xml:space="preserve">&amp;X_i^d \equiv L x_i^d\Longrightarrow \underset{\text{ (utilizar en exposición oral)}}{\boxed{X_i^d=\frac{L}{\gamma}\left[\alpha-\eta X-p_i\right]}} &amp;X=\int x_i\mathrm di\underset{\substack{\text{ sustituyendo $X$}\\\text</t>
  </si>
  <si>
    <t xml:space="preserve">&amp;\text{Demanda}:&amp;&amp;\underset{\text{ }}{\boxed{p_i=\alpha-\gamma x_i-\eta X}} &amp;\text{Beneficio operativo}: &amp;&amp;\underset{\text{ }}{\boxed{\Pi(c)=\frac{L}{4\gamma}(c_D-c)^2}} &amp;\text{Incumbentes/Firmas}:&amp;&amp;\underset{\text{ }}{\</t>
  </si>
  <si>
    <t xml:space="preserve">Modelos gravitatorios: ¿Cuanto ha afectado? | Resultado (II): Efecto frontera | Metodologia empirica de la integracion: Otros metodos cuantitativos</t>
  </si>
  <si>
    <t xml:space="preserve">&amp;\hspace{5em}\boxed{X_{ij}=\varphi\frac{Y_i^{\alpha_1}Y_j^{\alpha_2}}{r_{ij}^{\alpha_3}}} &amp;\ln X_{ij}=\varphi+\alpha_1\ln Y_i+\alpha_2\ln Y_j+\alpha_3\ln r_{ij}+\varepsilon_{ij}</t>
  </si>
  <si>
    <t xml:space="preserve">Enfoque Elasticidades: Condicion MARSHALL-LERNER</t>
  </si>
  <si>
    <t xml:space="preserve">&amp;\text{BC}=X-e\cdot M_{\text{ext}}\;\Rightarrow\; &amp;&amp;\frac{\partial \text{BC}}{\partial e}=\frac{\partial X}{\partial e}-(M_{\text{ext}}+e\cdot \frac{M_{\text{ext}}}{\partial e}) &amp;\underset{\substack{\text{ Dividiendo}\\\</t>
  </si>
  <si>
    <t xml:space="preserve">Modelo Monetario: Sustituibilidad perfecta</t>
  </si>
  <si>
    <t xml:space="preserve">M^d=M^s=R+CI\;\Longrightarrow\;\boxed{BP=\Delta R=\Delta M^d-\Delta CI}</t>
  </si>
  <si>
    <t xml:space="preserve">\text{Curva BP:}\quad \underbrace{\boxed{BP=X_0(q,Y^*)-q\;m\;Y+\beta(i-i^*)}}_{BP=CC+CK=0\quad \text{Eq. Mercado Exterior}}</t>
  </si>
  <si>
    <t xml:space="preserve">&amp;\text{Curva IS:}&amp;&amp;Y=C(Y)+G+I(i,Y)+\underbrace{XN(e,Y, Y^*)}_{\text{Balanza de Comercial}} &amp;\text{Curva LM:}&amp;&amp;\frac{M^s}{P}=M^d(i,Y) &amp;\text{Curva BP:}&amp;&amp; BP=\underbrace{XN(e,Y, Y^*)}_{X(Y^*)-eM(Y)}+\overbrace{\beta(i-i^*)</t>
  </si>
  <si>
    <t xml:space="preserve">Precios flexibles: FRENKEL y MUSSA (1976) | ¿Que pasa en realidad? -- Evidencia Empirica</t>
  </si>
  <si>
    <t xml:space="preserve">&amp;\text{Paso (1). Expandimos ecuaciones} &amp;\left( &amp;\overbrace{\left(\frac{M}{P}\right)^s=\left(\frac{M}{P}\right)^d}^{\text{ Equilibrio mercado monetario}}\;\Longrightarrow\;\boxed{\left(\frac{M}{P}\right)^s=\overbrace{Y^k</t>
  </si>
  <si>
    <t xml:space="preserve">Sobrerreacción (Dornbusch 1976)</t>
  </si>
  <si>
    <t xml:space="preserve">Efectos a Corto Plazo: Aumento no anticipado ( M^s )</t>
  </si>
  <si>
    <t xml:space="preserve">\text{TDE}_t=\gamma \mathbb E[E_{t+1}\;|\;\Omega_t]\approx(i-i^*)\;\Longrightarrow\;i\approx i^*+\underbrace{\frac{\mathbb E[E_{t+1}\;|\;\Omega_t]-E_t}{E_t}}_{\equiv \text{TDE}_t}</t>
  </si>
  <si>
    <t xml:space="preserve">&amp;\hspace{2em} \boxed{W=M+B+\underbrace{eF}_{\substack{\text{ Bonos extranjeros}\\\text{ denominados en}\\\text{ $M$ nacional}}}}\quad \begin{cases} M^d=f(\underset{(-)}{r}, \overset{(-)}{r^*}) B^d=f(\underset{(+)}{r},\ov</t>
  </si>
  <si>
    <t xml:space="preserve">(M^d-M^s)+(B^d-B^s)+(F^d-F^s)=0</t>
  </si>
  <si>
    <t xml:space="preserve">&amp;(1)\;\;\text{Si},\;\;\frac{g_t}{y_t}\longrightarrow1\quad \Longrightarrow\quad \left\{ &amp;\underset{\uparrow y_t\Rightarrow\uparrow g_t,\;\text{ pero, $\eta_G=0$}\Rightarrow \uparrow\pi_{H,t}}{\uparrow Cov(x_t,\pi_{H,t})}</t>
  </si>
  <si>
    <t xml:space="preserve">&amp;\text{Términos de intercambio}:&amp;&amp;S_t=\frac{P_{F,t}}{P_{H,t}}\overset{\ln(\cdot)}{\Longrightarrow}s_t=\int_0^1s_{i,t}\mathrm di\Longrightarrow \underset{\substack{\text{ Términos efectivos de intercambio (log)}\\\text{ i</t>
  </si>
  <si>
    <t xml:space="preserve">&amp;\text{Curva IS}:&amp;&amp;\boxed{x_t = \mathbb E_t[x_{t+1}] - \frac{1}{\sigma}\big(i_t - \mathbb E_t[\pi_{t+1}] - r^n_t\big)+u_t^{IS}} &amp;\text{Curva de PHILLIPS}:&amp;&amp;\boxed{\pi_{t} = \beta \mathbb E_t[\pi_{t+1}] + \kappa x_t+u_t^{</t>
  </si>
  <si>
    <t xml:space="preserve">Teorías explicativas de las crisis de balanza de pagos</t>
  </si>
  <si>
    <t xml:space="preserve">Marco analitico: FLOOD y GARBER (1984) | Anticipacion de la crisis cambiaria: Tipo de cambio sombra</t>
  </si>
  <si>
    <t xml:space="preserve">&amp;M(t)=R(t)+D(t)&amp;&amp;\Longrightarrow\quad R(t)=\underset{\text{ cte.}}{\beta\,s(t)}-D(t) &amp;\dot R(t)=-\dot D(t)&amp;&amp;\Longrightarrow\quad\boxed{\dot R(t)=-\mu}</t>
  </si>
  <si>
    <t xml:space="preserve">Jeanne (2000)</t>
  </si>
  <si>
    <t xml:space="preserve">Gobierno: Funcion objetivo | Equilibrio: Reaccion optima del Gobierno | Exposicion: Regiones e interpretacion economica</t>
  </si>
  <si>
    <t xml:space="preserve">&amp;L=(u_t)^2+\delta C\quad\Longrightarrow\quad \boxed{\min_{\pi_t} L=[\rho\,u_{t-1}-\alpha(\pi_t-\mathbb E_{t-1}[\pi_t])]^2+\delta C} &amp;\left\{ &amp;\text{E}1:\mathrm P(d)=0\,\Longrightarrow \mathbb E_t[\pi]=0\quad\Longrightarr</t>
  </si>
  <si>
    <t xml:space="preserve">Equilibrio | Riqueza privada: Problemas de balance</t>
  </si>
  <si>
    <t xml:space="preserve">&amp; &amp;(1)\,\text{Equilibrio}:&amp;&amp;p_t=\frac{y_t-(1-\mu)(1-\alpha)y_t-(1-\mu)i_t^o}{X_t}\quad\underset{\text{ c/p: $\bar y_t$ y $\bar X_t$}}{\Longrightarrow}&amp;&amp;\boxed{\frac{\partial p_t}{\partial i_t^o}=-\frac{1-\mu}{\bar X_t}&lt;0</t>
  </si>
  <si>
    <t xml:space="preserve">Activo financiero: Rendimiento y riesgo | Cartera de activos arriesgados | Generalizacion: carteras con multiples activos arriesgados | Cartera de mercado: Desarrollo analitico | Las funciones de utilidad | Optimizacion media-varianza | Demostracion: Modelo MARKOWITZ (1952)</t>
  </si>
  <si>
    <t xml:space="preserve">&amp; &amp;\max_{\omega_j;\,\,\forall j=1,2,...,N}\theta_T=\left(\frac{\mathbb E_t[r_p]-r_f}{\sigma_p}\right) &amp;\text{s.a.}\quad \sum_{j=1}^N\omega_j=1 \quad \sim\qquad \max_{\omega_j}=\theta_T=\frac{\sum_{j=1}^N\omega_j[\mathbb </t>
  </si>
  <si>
    <t xml:space="preserve">Capital Allocation Line</t>
  </si>
  <si>
    <t xml:space="preserve">Ponderacion: Capital Allocation Line (CAL) | Combinacion de riesgo optima: Curva de Minima Varianza (CMV)</t>
  </si>
  <si>
    <t xml:space="preserve">&amp;\text{Rentabilidad esperada}:&amp;&amp;\mathbb E[r_c]=\omega_A\mathbb E[r_A]+\omega_f\mathbb E[r_f]=\omega_A\mathbb E[r_A]+(1-\omega_A)\mathbb E[r_f] &amp;\text{Varianza de la cartera}:&amp;&amp;\sigma_c^2=\omega_A^2\sigma_A^2+\omega_f^2\s</t>
  </si>
  <si>
    <t xml:space="preserve">&amp;\text{Estructura capital}:\frac{E}{V}+\frac{D}{V}\quad \underset{\text{ $\beta_p=\sum_ix_i\beta_i$}}{\sim}\quad \beta_A=\beta_E\frac{E}{V}+\beta_D\frac{D}{V} &amp;\beta_A=\frac{\beta_E+\beta_D\frac{D}{E}}{1+\frac{D}{E}}\qua</t>
  </si>
  <si>
    <t xml:space="preserve">&amp;\downarrow \beta_A\,\,\Longrightarrow\,\, \downarrow E_t[r_{WACC}]=\gamma+\underbrace{\beta_A(\underbrace{\mathbb E_t[r_M]-\gamma}_{=\lambda_M})}_{=\lambda} &amp;</t>
  </si>
  <si>
    <t xml:space="preserve">&amp;\beta_{pT}=&amp;&amp;\frac{Cov(r_p,r_T)}{\sigma_T^2}=\frac{Cov(\omega_{1p}r_1+\omega_{2p}r_2+\cdots +\omega_{Np}r_N,r_T)}{\sigma_T^2}= &amp;&amp;&amp;=\omega_{1p}\frac{Cov(r_1,r_T)}{\sigma_T^2}+\omega_{2p}\frac{Cov(r_2,r_T)}{\sigma_T^2}+\c</t>
  </si>
  <si>
    <t xml:space="preserve">Modelos factoriales | Ejemplo - APT | Derivacion del Modelo</t>
  </si>
  <si>
    <t xml:space="preserve">&amp;r_j=&amp;&amp;\left(1-\sum_{k=1}^K\beta_{1k}\right)r_f+\sum_{k=1}^K\beta_{jk}I_K &amp;\Longrightarrow&amp;&amp;\mathbb E_t[r_j]=\left(1-\sum_{k=1}^K\beta_{1k}\right)r_f+\sum_{k=1}^K\beta_{jk}\mathbb E_t[I_K] &amp;\Longrightarrow&amp;&amp;\mathbb E_t[r</t>
  </si>
  <si>
    <t xml:space="preserve">Análisis de los instrumentos y de los mercados de derivados</t>
  </si>
  <si>
    <t xml:space="preserve">¿Que valor tiene la opcion? Distribucion truncada: dos fuentes de valor | Sensibilidades: Linealidad o No-linealidad | Construccion de la cartera delta-neutral</t>
  </si>
  <si>
    <t xml:space="preserve">&amp;\text{Neutralidad delta}:\qquad \boxed{A\omega=-g}\qquad\Longrightarrow \left\{ &amp;\text{Cobertura exacta} &amp;\text{Sobredeterminación} \right. &amp;\text{donde,}\left\{ &amp;g=\nabla_X V&amp;&amp;\equiv\text{Vector de sensibilidades de $V</t>
  </si>
  <si>
    <t xml:space="preserve">Extensiones: MERTON (1974)</t>
  </si>
  <si>
    <t xml:space="preserve">\text{MERTON}:\qquad\underbrace{\min\{D,V(T)\}}_{ {\text{Recuperación del Banco}}}\qquad \underbrace{\max\{0,V(T)-D\}}_{ {\text{Patrimonio de la empresa en $T$}}}</t>
  </si>
  <si>
    <t xml:space="preserve">Seguro de depósitos como opción put (Merton 1977)</t>
  </si>
  <si>
    <t xml:space="preserve">Seguro de depositos: Fondo de Garantia de Depositos</t>
  </si>
  <si>
    <t xml:space="preserve">S=\max{D-P’,0},</t>
  </si>
  <si>
    <t xml:space="preserve">Coste de capital accionario: Equity</t>
  </si>
  <si>
    <t xml:space="preserve">&amp;\boxed{p_A=\sum_{t=1}^\infty\frac{d_t}{(1+r_E)^t}}\qquad \text{donde,} \left\{ &amp;d_t\equiv\text{Dividendo de la compañía}\\ &amp;p_A\equiv\text{Precio actual de la acción} \right. &amp;\underset{\substack{\text{ asumimos tasa}\\</t>
  </si>
  <si>
    <t xml:space="preserve">Proposicion II.- r_E D: r_ WACC cte. | Trade off theory : Impuestos y bancarrota | (sin epígrafe)</t>
  </si>
  <si>
    <t xml:space="preserve">r_{WACC}=r_E\frac{E}{V}+r_D\frac{D}{V}\quad\underset{V=E+D\,\,\text{ y operar}}{\Longrightarrow}\quad \boxed{r_E=r_{WACC}+(r_{WACC}-r_D)\frac{D}{E}}</t>
  </si>
  <si>
    <t xml:space="preserve">Modelo: DIAMOND y DYBVIG (1983)</t>
  </si>
  <si>
    <t xml:space="preserve">&amp;c_2^b=\frac{(1-\theta c_1^a)R}{1-\theta}\qquad\overset{ {\text{Sustituyendo en}}}{\Longrightarrow}\qquad \mathbb E[U]=\theta \overset{ \text{utilidad grupo A}}{\ln(c_1^a)}+(1-\theta)\underset{ \text{Utilidad grupo B}}{\</t>
  </si>
  <si>
    <t xml:space="preserve">Mercado de credito</t>
  </si>
  <si>
    <t xml:space="preserve">&amp;\max_{\{i\}}{r^e(i)=P(\cdot |i)(1+i)+(1-P(\cdot|i))c} \text{Donde,} &amp;\begin{cases} r^e&amp;\equiv \quad \text{Rendimiento esperado por el banco en función de $i$} P(\cdot|i)&amp;\equiv \quad \text{Probabilidad de repago condici</t>
  </si>
  <si>
    <t xml:space="preserve">Cambio Climático y su impacto en la economía</t>
  </si>
  <si>
    <t xml:space="preserve">Modulo economico | Modulo climatico | Calibracion y resolucion: Implicaciones de Politica Economica</t>
  </si>
  <si>
    <t xml:space="preserve">\boxed{ \max_{c_t}W=\sum_{t=1}^\infty\frac{U(c_t)L_t}{(1+\rho)^t} \text{s.a.}\quad c_t=f(n_t,z_t,\omega) }</t>
  </si>
  <si>
    <t xml:space="preserve">Modelos de costes de ajuste | Modelo alternativo: Costes de ajustes lineales</t>
  </si>
  <si>
    <t xml:space="preserve">&amp;\max{\pi}=\int_0^\infty e^{-rt}[f(L)-wL-C(\dot L)]\mathrm{d}t \qquad\text{Donde,} \quad \begin{cases} r\quad &amp;\equiv \text{ Tasa de descuento beneficios futuros}\\ C(\dot L_t)\quad &amp;\equiv \text{ Costes de ajuste de pla</t>
  </si>
  <si>
    <t xml:space="preserve">&amp;\underset{\substack{\text{ Por arbitraje, el coste de financiación de la economía doméstica se iguala al coste de financiación del resto del mundo, $r^*$,}\\\text{ y el acceso a la financiación exterior le permite expan</t>
  </si>
  <si>
    <t xml:space="preserve">\sum_{t=0}^T\left(\frac{1}{1+r}\right)^t(c_t+I_t)=(1+r)B_0+\sum_{t=0}^\infty\left(\frac{1}{1+r}\right)^t(Y_t-G_t) -(1+r)B_0=\sum_{t=0}^\infty\left(\frac{1}{1+r}\right)^t(Y_t-C_t-I_t-G_t)</t>
  </si>
  <si>
    <t xml:space="preserve">&amp;\boxed{ &amp;\max_{c_t,k_t}U(0)=u(c_1)+u(c_2) &amp;\text{s.a.}\quad \begin{cases} &amp;y_t=A_tf(k_t)\quad \text{ (Función de Producción, reversible)} &amp;c_1+i^o_1+\frac{c_2+i^o_2}{1+r}=y_1+\frac{y_2}{1+r} &amp;\dot k_{t+1}=\overbrace{(y_</t>
  </si>
  <si>
    <t xml:space="preserve">Ley del Valor</t>
  </si>
  <si>
    <t xml:space="preserve">C+Pl+V=Y\quad \text{donde,} \begin{cases} C\equiv\quad \text{Capital Fijo Total} Pl\equiv\quad \text{Plusvalía total} C\equiv\quad \text{Capital variable total (salarios, }w) Y\equiv\quad \text{Producción total (en valor</t>
  </si>
  <si>
    <t xml:space="preserve">Exceso de demanda de dinero en el Modelo Neoclasico: Mecanismo de Ajuste</t>
  </si>
  <si>
    <t xml:space="preserve">\underbrace{MV}_{\substack{\text{ Valor monetario de}\\\text{ las compras de bienese}}} =\underbrace{PY}_{\substack{\text{ Valor monetario de}\\\text{ las ventas de bienese}}}\quad &amp;\text{donde,} \begin{cases} M\equiv\qu</t>
  </si>
  <si>
    <t xml:space="preserve">\frac{\dot W}{W}=\alpha X_L=\alpha \left(\frac{L^D-L^S}{L^S}\right)</t>
  </si>
  <si>
    <t xml:space="preserve">&amp;\text{Dada:} \qquad y^d_t=m_t+p_t\qquad \text{[DA]} &amp;\text{Y considerando que $m_t$ puede reescribirse como:} &amp;m^s_t=m^s_{t-1}+c+u_t\qquad \text{con}, \; \begin{cases} &amp;\text{Dependencia de valores pasados}:\quad m_{t-1</t>
  </si>
  <si>
    <t xml:space="preserve">\boxed{\frac{\dot W}{W}=f(U)}</t>
  </si>
  <si>
    <t xml:space="preserve">&amp;\text{Curva de PHILLIPS}:&amp;&amp;\pi_{H,t}=\beta \mathbb E_t[\pi_{H,t+1}]+\kappa_\alpha x_t+u_t,\quad\text{donde}\quad u_t\sim N(0,\sigma_u) &amp;\kappa_\alpha\to0\Longrightarrow &amp;&amp;|Var(\pi_{H,t})|\gg0\iff |Var(u_t)|&gt;0\\ &amp;\Longri</t>
  </si>
  <si>
    <t xml:space="preserve">\dot P_t^e=\sum_{i=1}^n\lambda_i\;\cdot\;\dot P_{t-i}</t>
  </si>
  <si>
    <t xml:space="preserve">&amp;\underbrace{\underbrace{\frac{\dot W}{W}}_{\substack{\text{ Variación de los}\\\text{ salarios nominales}}}=\underbrace{f(U)}_{\substack{\text{ Tasa de desempleo}\\\text{ refleja Exceso $L^d\equiv X_L$}}}+\overbrace{\pi</t>
  </si>
  <si>
    <t xml:space="preserve">&amp;P^*=CMg_t+\mu &amp;\pi_t=\beta\;E_t[\pi_{t+1}\;|\;\Omega_t]+\left(\frac{(1-\theta)\;(1-\beta\;\theta)}{\theta}\right)\;(\mu+CMg_t-P_t)+e_t \text{Reformulando:}&amp; &amp;\mu+CMg_t-P_t\to \underbrace{dCMg=\mu+CMg_t-P_t}_{x_t}\quad \</t>
  </si>
  <si>
    <t xml:space="preserve">&amp;\boxed{\kappa_\alpha\equiv\lambda(\sigma_\alpha+\varphi)}\qquad \text{donde,} \left\{ &amp;\varphi\equiv\text{Impacto sobre el empleo ($n_t$)} &amp;\sigma_\alpha(\alpha,\eta)\equiv\text{Términos de intercambio} &amp;\lambda=\frac{(</t>
  </si>
  <si>
    <t xml:space="preserve">&amp;\text{Curva de PHILLIPS}:&amp;&amp;\boxed{\pi_{t} = \beta \mathbb E_t[\pi_{t+1}] + \kappa x_t} &amp;\text{Donde,} &amp;&amp;\left. &amp;\kappa=\lambda(\sigma+\varphi)&amp;&amp; \left\{ &amp;\varphi\equiv \text{Inversa elasticidad oferta de empleo} &amp;\under</t>
  </si>
  <si>
    <t xml:space="preserve">\underbrace{MV=PY}_{\text{ Causalidad:} \Rightarrow}\quad \rightarrow\quad \underbrace{\frac{M}{P}=\frac{1}{V}Y}_{\text{ Equilibrio en el mercado monetario}}</t>
  </si>
  <si>
    <t xml:space="preserve">\text{FISCHER:}\qquad &amp;\boxed{\underbrace{M\cdot V}_{\text{ Gasto de los agentes}}=\overbrace{P\cdot T}^{\text{ Valor mercancias}}}\quad \text{donde,} \begin{cases} T:\quad \text{ Determinado por nivel $Q$ de pleno $L$, </t>
  </si>
  <si>
    <t xml:space="preserve">&amp;MV=PY&amp;&amp;\underset{(\bar V\;\text{y}\;\bar Y)}{\Longrightarrow}\quad \frac{M}{P}=kY &amp;\text{NMC:}&amp;&amp; \uparrow M\quad\underset{E[\;\cdot\;|\;\Omega_t]}{\Longrightarrow}\quad \uparrow P &amp;\text{Monetarismo y NEK-2}: &amp;&amp;\uparrow</t>
  </si>
  <si>
    <t xml:space="preserve">\boxed{{\frac{M^d}{P}}=f(\underbrace{Y_P}_{+},\overbrace{r_{\text{\tiny Financieros}}^{\text{\tiny Activos}},r^{\text{\tiny Activos}}_\text{\tiny Reales},\pi^e}^{-},\underbrace{\frac{W_H}{W}}_{+})}</t>
  </si>
  <si>
    <t xml:space="preserve">&amp;\text{Enfoque keynesiano:}\quad \tilde k\;\;;\;\;i(\substack{\text{ Fenómeno}\\\text{ Real}})\sim r\;\Rightarrow \begin{cases} \varepsilon_{m^d,i}\sim 0\;\;\left(\substack{\text{ Los agentes cuentas}\\\text{ con otras a</t>
  </si>
  <si>
    <t xml:space="preserve">M=k\;\cdot\;p\;\cdot\;Y</t>
  </si>
  <si>
    <t xml:space="preserve">Enfoque Keynesiano</t>
  </si>
  <si>
    <t xml:space="preserve">&amp; \text{KEYNES:}\qquad \boxed{M^d_t=\underbrace{k\cdot Y_t}_{\text{ Motivo transacción/precaución}}-\overbrace{h\cdot i_t}^{\text{ Motivo especulación}}} &amp;\text{donde,}\quad \begin{cases} k: \quad \text{Sensibilidad de l</t>
  </si>
  <si>
    <t xml:space="preserve">\boxed{ &amp;\text{RPG:}\quad &amp;&amp;G_1+\frac{G_2}{1+r}=\tau_1+\frac{\tau_2}{1+r} &amp;\text{RPI:}\quad &amp;&amp;C_1+\frac{C_2}{1+r}=\underbrace{(Y_1-\tau_1)+\frac{(Y_2-\tau_2)}{1+r}}_{W} &amp;\text{SN}_1:\quad &amp;&amp;\overbrace{S^*_{G,t}}^{\tau_t-</t>
  </si>
  <si>
    <t xml:space="preserve">&amp;\uparrow g_t\;\Longrightarrow\; \begin{cases} E[x_{t+s}&lt;0\;|\;\Omega_t] S_N=\downarrow S_G+\uparrow S_P \text{Efecto Riqueza}&lt;0 \end{cases}\;\Longrightarrow\; \begin{cases} \uparrow s_t^P ¿?\;\; i_t^o \end{cases}\;\Long</t>
  </si>
  <si>
    <t xml:space="preserve">&amp;\text{RPG:}&amp;&amp;B_t=(1+i_t)B_{t-1}+\underbrace{G_t-T_t}_{X_t} &amp;\overset{\left(\frac{B_t}{Y_t}=\frac{(1+i_t)B_{t-1}}{Y_t}+\frac{X_t}{Y_t}\right)}{\underbrace{\Longrightarrow}_{\substack{\text{ En términos nominales}\\\text{</t>
  </si>
  <si>
    <t xml:space="preserve">\underset{ {\text{Brecha de absorción}}}{CA_t-Y_t}=\overbrace{rB_t}^{ {\text{Ajuste externo}}}-\underbrace{C_t-G_t-I_t}_{ {\text{Ajuste interno}}}</t>
  </si>
  <si>
    <t xml:space="preserve">Fiscal Theory of Prices : Senda de Deficit Publico</t>
  </si>
  <si>
    <t xml:space="preserve">&amp;\underset{\text{ Punto de partida de la TFP}}{\text{RPIG en términos reales:}}\quad \underset{ \substack{ \text{ Condición de Equilibrio: (en términos reales)}\\ \text{ Valor Deuda = Valor presente descontado de Superáv</t>
  </si>
  <si>
    <t xml:space="preserve">Conflicting-claims inflation : Inflacion distributiva</t>
  </si>
  <si>
    <t xml:space="preserve">P=(1+\mu)\frac{W}{PMe_L}</t>
  </si>
  <si>
    <t xml:space="preserve">La Demanda: el Consumidor | Funcion de Demanda Individual | Funcion de Demanda Agregada | La Oferta: la Curva de Oferta del Productor | Funcion de Oferta Individual | Rendimientos Decrecientes a Escala | Rendimietos Mixtos a Escala: Decrecientes para Niveles Iniciales de Produccion | Rendimientos Constantes a Escala</t>
  </si>
  <si>
    <t xml:space="preserve">&amp;\boxed{ &amp;\max_{x}\quad U_i(m,x) &amp;\text{s.a.}\quad \left\{ &amp;\underset{\text{Restricción Presupuestaria}}{W_i=m^*+p_xx^*} &amp;\underset{\text{Restricción de No-Negatividad}}{0\ll(m^*,x^*)} \right. }\;\underset{ \text{ $ \lef</t>
  </si>
  <si>
    <t xml:space="preserve">&amp;\boxed{ &amp;\arg\max_{Q} &amp;&amp;\Pi_M(Q)=\underbrace{\underbrace{P_x^d(Q)}_{\substack{\text{ Demanda residual}\\\text{ es demanda de mercado}}}\cdot Q}_{IT(Q)\equiv \text{ Ingresos Totales}}-C(Q) &amp;\text{s.a.} &amp;&amp;\Pi_M(Q)\geq\Pi_</t>
  </si>
  <si>
    <t xml:space="preserve">L_i=\left(\frac{P_x-CMg_i}{P_x}\right)=\frac{s_i}{|\varepsilon_{p,x}|}</t>
  </si>
  <si>
    <t xml:space="preserve">&amp;\text{Equilibrio:} &amp;\vec X=(x_1,x_2,\dots,x_I, Q)\qquad \text{cumple}, \quad \left\{ &amp;\underset{\substack{ \\\text{Para vector de precios:}\;\vec p_x=(p_1,p_2,\dots, p_I)}}{P_x^d(x)=P_x^s(x)\;\sim\;\frac{\partial}{\part</t>
  </si>
  <si>
    <t xml:space="preserve">&amp;\max_{z}\Pi(z)=\underbrace{P_x^d(x^*)\cdot f(z)}_{\text{ Ingresos totales}}-\underbrace{P_z^s(z)\cdot z}_{\text{ Costes totales}} &amp;\text{CPO:}\qquad \frac{\partial}{\partial z}\Pi(z)=\underbrace{P_x^d(x^*)\cdot\frac{\pa</t>
  </si>
  <si>
    <t xml:space="preserve">Economía del Bienestar (I)</t>
  </si>
  <si>
    <t xml:space="preserve">Teoria General del Second-Best: Desarrollo. LIPSEY y LANCASTER (1956) | Diferentes CPO's: MISHAN | Situaciones Informacionales: Costes informacionales y Politica aplicable | Teoria del Third-Best: Desarrollo completo</t>
  </si>
  <si>
    <t xml:space="preserve">&amp;\underset{\text{\textbf{normal}}}{\boxed{ &amp;\max F(x_1,x_2,\ldots,x_n) &amp;\text{s.a.}\;\;G(x_1,x_2,\ldots,x_n)=0 }}\;\underset{\substack{\text{ se puede}\\\text{ \textit{economizar}}\\\text{ pensando}}}{\sim}\;\; \text{ $\</t>
  </si>
  <si>
    <t xml:space="preserve">Definicion: Fallo de Mercado | Implicaciones de Politica Economica | Intervecion: Impuestos/Subvenciones | Externalidad Negativa: Mal Publico (Informacion completa)</t>
  </si>
  <si>
    <t xml:space="preserve">\left. &amp;\hspace{4em}\underset{\text{ (Externalidad negativa $\Longrightarrow \phi_I(h)&lt;0$)}}{\text{IMPOSICIÓN}}\\ &amp;\over \\ &amp;\text{Fijamos}:\quad t_h = -\phi_K'(h^º) &gt; 0 &amp;\hspace{2em}\Downarrow\quad \left(\max_{h \ge 0} </t>
  </si>
  <si>
    <t xml:space="preserve">Negociación coasiana (Coase 1960)</t>
  </si>
  <si>
    <t xml:space="preserve">Derechos de propiedad: Negociacion descentralizada (Teorema de COASE)</t>
  </si>
  <si>
    <t xml:space="preserve">&amp;\text{Negociación}: \left\{ &amp;(1)\;\;\underset{\text{ ejecutables y bien definidos}}{\text{Dchos. de propiedad}}\\ &amp;(2)\;\;I\;\text{ostenta los derechos} \right. &amp;\text{Si $I$ exige $T$ para alcanzar $h$, $K$ aceptará}\i</t>
  </si>
  <si>
    <t xml:space="preserve">&amp;\underset{\text{ Impuesto \textit{ad-valorem}, no proporcional}}{\text{Impuesto sobre el consumo:}}\qquad \underset{\text{ Equilibrio del mercado}}{x(p_x+t)=Q(p_x)} &amp;\text{Entonces, podemos escribir:}\qquad p_x^*\equiv </t>
  </si>
  <si>
    <t xml:space="preserve">, y el precio después de impuestos recibido por los comerciantes sería de $10,3\$-1\$=9,3\</t>
  </si>
  <si>
    <t xml:space="preserve">Corto plazo | Largo plazo | Obtencion de la demanda intertemporal de trabajo</t>
  </si>
  <si>
    <t xml:space="preserve">&amp;\min_{\{K,L\}} wL-rK \qquad \text{s.a.} \quad F(K,L)\ge Y &amp;\text{Obtendremos de las CPO's:} &amp;\begin{cases} &amp;\text{(1)}\quad PMg_L=w \qquad \equiv \qquad PMg_L=CMg_L;\\ &amp;\text{(2)}\quad PMg_K=r \qquad \equiv \qquad PMg_K</t>
  </si>
  <si>
    <t xml:space="preserve">Ecuaciones de ingresos de Mincer</t>
  </si>
  <si>
    <t xml:space="preserve">&amp;\log{w}=\beta_0+\beta_1+\beta_2\;\mathrm{Exp}+\beta_3\;\mathrm{Exp}^2+\epsilon \text{Donde,} &amp;\begin{cases} w&amp;\equiv \text{Ingresos del individuo (incremental, log)} s&amp;\equiv \text{Número de años de educación} \mathrm{E</t>
  </si>
  <si>
    <t xml:space="preserve">Paridad de Poder Adquisitivo: Absoluta | Paridad de Poder Adquisitivo: Relativa</t>
  </si>
  <si>
    <t xml:space="preserve">&amp;\gamma P=\gamma E+\gamma P^*\Longrightarrow\pi=\gamma E+\pi^*\Longrightarrow\boxed{\gamma E=\pi-\pi^*} &amp;e=\frac{E\;\cdot\;P^*}{P}\;\Longrightarrow\;\ln{e}=\ln{E}+\ln{P^*}-\ln{P} &amp;\overset{\partial t}{\Longrightarrow}\;\</t>
  </si>
  <si>
    <t xml:space="preserve">Desarrollo formal | Paridad Cubierta de Intereses: Forward | Paridad No Cubierta de Intereses: Especulacion | Implicaciones de Politica Economica</t>
  </si>
  <si>
    <t xml:space="preserve">(1+i_t)=(1+i_t^*)\frac{E_{t+1}}{E_t}\;\Longrightarrow\;\boxed{(i-i^*)\simeq \frac{E_{t+1}-E_t}{E_t}\Longrightarrow\;i=i^*+E[\text{TDE}_{t}\;|\;\Omega_t]}</t>
  </si>
  <si>
    <t xml:space="preserve">Paradoja del margen forward (contraste de eficiencia)</t>
  </si>
  <si>
    <t xml:space="preserve">Paridad Cubierta de Intereses: Forward | Paridad No Cubierta de Intereses: Especulacion | Paradoja del Margen Forward: Hipotesis de los Mercados Eficientes</t>
  </si>
  <si>
    <t xml:space="preserve">\boxed{\Delta E_{t+1}=\beta_0+\beta_1(F_t^{t+1}-E_t)+\varepsilon_{t+1}}</t>
  </si>
  <si>
    <t xml:space="preserve">\boxed{v_t=\sum_{s=0}^\infty \beta^s \underset{\text{ valor fundamental esperado}}{\mathbb E_t[k_{t+s}]}+\varepsilon_t}\qquad \text{donde,}\;\;\underset{\text{ valor burbuja generado por los mercados financieros}}{\varep</t>
  </si>
  <si>
    <t xml:space="preserve">&amp;E_{t+1}^{\text{ F}}=E_t+\left(E[V^{f}_{t+s}\;|\;\Omega_t]-E_t\right) &amp;E_{t+1}^{\text{ C}}=E_t+\sum_{h=s+1}^t(E_h-E_{h-1})=E_t+(E_t-E_s) &amp;E_{t+1}=\alpha E_{t+1}^{\text{ F}}+\beta E_{t+1}^{\text{ C}}</t>
  </si>
  <si>
    <t xml:space="preserve">Coordinación internacional de Políticas Económicas</t>
  </si>
  <si>
    <t xml:space="preserve">Aproximacion dinamica:</t>
  </si>
  <si>
    <t xml:space="preserve">&amp;\left\{ &amp;L_i\equiv \text{Pago por cooperar} &amp;F_i\equiv \text{Pago por desviarse} &amp;R_i\equiv \text{Pago bajo represalia} \right\}\quad\Longrightarrow\quad \text{Equilibrio biperiodo}: \quad \frac{L_i}{1-\delta}\geq F_i+\</t>
  </si>
  <si>
    <t xml:space="preserve">Aranceles | Politica Comercial optima</t>
  </si>
  <si>
    <t xml:space="preserve">\boxed{t^* = \frac{1}{\varepsilon_M}}\qquad \text{donde,} \left\{ &amp;\text{TOT}=\frac{p_X^h}{p_M^h},&amp;&amp;p_M^h=\frac{p_{\max}^b}{\tau}\quad\Longrightarrow\quad\substack{\text{Mejora nuestra relación}\\\text{ de intercambio}} </t>
  </si>
  <si>
    <t xml:space="preserve">Análisis de los instrumentos financieros de renta fija</t>
  </si>
  <si>
    <t xml:space="preserve">Teoria de las Expectativas puras</t>
  </si>
  <si>
    <t xml:space="preserve">(1+i_{n1})^n=(1+i_{11})\prod_{t=2}^n(1+\mathbb E_1[i_{1t}])</t>
  </si>
  <si>
    <t xml:space="preserve">Hábitat preferido (Modigliani-Sutch 1966)</t>
  </si>
  <si>
    <t xml:space="preserve">Teoria del habitat preferido</t>
  </si>
  <si>
    <t xml:space="preserve">(1+i_{nt})^n=(1+i_{11})\prod_{t=2}^n(1+\mathbb E_1[i_{1t}])+I_{n1}</t>
  </si>
  <si>
    <t xml:space="preserve">&amp;\underset{ {\text{Valor esperado del préstamo con riesgo}}}{\sum_{t_j=0}^{T_j}\frac{\text{Cupón}_j}{(1+\delta)^{t_j}}\cdot \mathrm P_j(X=1)}=\underset{ {\text{Valor del préstamo con prima de riesgo}}}{\sum_{t_j=0}^{T_j}</t>
  </si>
  <si>
    <t xml:space="preserve">&amp;\text{Pérdida esperada}:&amp;&amp;{\textbf{EL}}=\overset{{ \substack{\text{Probabilidad}\\\text{Incumplimiento}}}}{\text{PD}}\cdot \underset{{ \substack{\text{Pérdida dado}\\\text{Impago}}}}{\text{LGD}}\cdot\overset{{ \substack</t>
  </si>
  <si>
    <t xml:space="preserve">Nº temas</t>
  </si>
  <si>
    <t xml:space="preserve">O</t>
  </si>
  <si>
    <t xml:space="preserve">O+V</t>
  </si>
  <si>
    <t xml:space="preserve">V</t>
  </si>
  <si>
    <t xml:space="preserve">Nº familias desarrolladas en el tema</t>
  </si>
  <si>
    <t xml:space="preserve">O = se desarrolla la versión original · V = solo una variante · O+V = ambas</t>
  </si>
  <si>
    <t xml:space="preserve">Ruta de epígrafes</t>
  </si>
  <si>
    <t xml:space="preserve">Aportaciones de IRVING FISHER al marco Neoclasico</t>
  </si>
  <si>
    <t xml:space="preserve">La economia post-keynesiana &gt; Escuela de Cambridge &gt; La controversia del capital</t>
  </si>
  <si>
    <t xml:space="preserve">Contexto historico &gt; Revolucion metodologica: Supuestos fundamentales y Caracteristicas &gt; Conducta de los Agentes Economicos: Hipotesis de las Expectativas Racionales</t>
  </si>
  <si>
    <t xml:space="preserve">Primera generacion &gt; Rigideces reales &gt; Mercado de bienes</t>
  </si>
  <si>
    <t xml:space="preserve">3.A.9</t>
  </si>
  <si>
    <t xml:space="preserve">Teoría de la demanda del consumidor (II)</t>
  </si>
  <si>
    <t xml:space="preserve">Analisis Dual: Aplicaciones &gt; Ecuacion de SLUTSKY &gt; Derivacion formal</t>
  </si>
  <si>
    <t xml:space="preserve">Primal vs. Dual &gt; Problema Dual: Minimizacion del gasto &gt; Desarrollo</t>
  </si>
  <si>
    <t xml:space="preserve">Primal vs. Dual &gt; Problema Dual: Minimizacion del gasto &gt; Especificacion</t>
  </si>
  <si>
    <t xml:space="preserve">Primal vs. Dual &gt; Problema Dual: Minimizacion del gasto &gt; Funcion Valor: Funcion de Gasto</t>
  </si>
  <si>
    <t xml:space="preserve">Primal vs. Dual &gt; Problema Dual: Minimizacion del gasto &gt; Solucion: SCEDC</t>
  </si>
  <si>
    <t xml:space="preserve">Primal vs. Dual &gt; Problema Primal. Maximizacion de la Utilidad &gt; Especificacion</t>
  </si>
  <si>
    <t xml:space="preserve">Primal vs. Dual &gt; Relaciones de Dualidad &gt; Dualidad entre Funciones de Valor</t>
  </si>
  <si>
    <t xml:space="preserve">Primal vs. Dual &gt; Relaciones de Dualidad &gt; Teorema Basico de la Dualidad: Dualidad entre soluciones</t>
  </si>
  <si>
    <t xml:space="preserve">3.A.10</t>
  </si>
  <si>
    <t xml:space="preserve">Teoría de la demanda del consumidor (III)</t>
  </si>
  <si>
    <t xml:space="preserve">Loterias sobre dinero y actitud frente al riesgo &gt; Definiciones y axiomas &gt; Coeficientes de aversion al riesgo</t>
  </si>
  <si>
    <t xml:space="preserve">3.A.11</t>
  </si>
  <si>
    <t xml:space="preserve">Teoría de la Producción (I)</t>
  </si>
  <si>
    <t xml:space="preserve">Leyes de produccion &gt; Corto plazo: Factor fijo &gt; Elasticidad-producto del factor</t>
  </si>
  <si>
    <t xml:space="preserve">Leyes de produccion &gt; Corto plazo: Factor fijo &gt; Productividad &gt; Productividad Marginal: PMg</t>
  </si>
  <si>
    <t xml:space="preserve">Leyes de produccion &gt; Corto plazo: Factor fijo &gt; Productividad &gt; Productividad Media: PMe</t>
  </si>
  <si>
    <t xml:space="preserve">Leyes de produccion &gt; Largo plazo: Factores variables &gt; Elasticidad-escala o coeficiente de la funcion</t>
  </si>
  <si>
    <t xml:space="preserve">Leyes de produccion &gt; Largo plazo: Factores variables &gt; Elasticidad-escala o coeficiente de la funcion &gt; Relacion entre productividades y rendimientos a escala</t>
  </si>
  <si>
    <t xml:space="preserve">Leyes de produccion &gt; Largo plazo: Factores variables &gt; Funciones de produccion homogeneas</t>
  </si>
  <si>
    <t xml:space="preserve">Leyes de produccion &gt; Muy largo plazo: Progreso tecnico &gt; Progreso tecnico: HARROD</t>
  </si>
  <si>
    <t xml:space="preserve">Leyes de produccion &gt; Muy largo plazo: Progreso tecnico &gt; Progreso tecnico: HICKS</t>
  </si>
  <si>
    <t xml:space="preserve">Leyes de produccion &gt; Muy largo plazo: Progreso tecnico &gt; Progreso tecnico: SOLOW</t>
  </si>
  <si>
    <t xml:space="preserve">Tecnologia &gt; Conjunto tecnologico &gt; Definicion: Tecnologia y Conjunto Tecnologico</t>
  </si>
  <si>
    <t xml:space="preserve">Tecnologia &gt; Funcion de Produccion</t>
  </si>
  <si>
    <t xml:space="preserve">Tecnologia &gt; Funcion de Produccion &gt; Extensiones &gt; Produccion Multiproducto: Curva de Transformacion</t>
  </si>
  <si>
    <t xml:space="preserve">Tecnologia &gt; Funcion de Produccion &gt; Funciones de produccion tipicas &gt; Funcion COBB-DOUGLAS</t>
  </si>
  <si>
    <t xml:space="preserve">Tecnologia &gt; Funcion de Produccion &gt; Funciones de produccion tipicas &gt; Funcion de complementaridad perfecta: Tecnologia LEONTIEF</t>
  </si>
  <si>
    <t xml:space="preserve">Tecnologia &gt; Funcion de Produccion &gt; Funciones de produccion tipicas &gt; La funcion de elasticidad de sustitucion constante (CES)</t>
  </si>
  <si>
    <t xml:space="preserve">Tecnologia &gt; Funcion de Produccion &gt; La Funcion de Produccion Neoclasica de Buen Comportamiento</t>
  </si>
  <si>
    <t xml:space="preserve">Tecnologia &gt; Funcion de Produccion &gt; La representacion grafica: Isocuantas &gt; La Elasticidad de Sustitucion: ES</t>
  </si>
  <si>
    <t xml:space="preserve">Tecnologia &gt; Funcion de Produccion &gt; La representacion grafica: Isocuantas &gt; Propiedades</t>
  </si>
  <si>
    <t xml:space="preserve">Aplicaciones empiricas: Metodos de estimacion &gt; Stochastic Frontier Analysis &gt; Modelo</t>
  </si>
  <si>
    <t xml:space="preserve">Dimension temporal de la funcion de costes</t>
  </si>
  <si>
    <t xml:space="preserve">Dimension temporal de la funcion de costes &gt; Analisis de estatica comparativa &gt; Variaciones en el coste de los inputs ( w ): Perspectiva de costes</t>
  </si>
  <si>
    <t xml:space="preserve">Dimension temporal de la funcion de costes &gt; Analisis de estatica comparativa &gt; Variaciones en el coste de los inputs ( w ): Perspectiva de costes &gt; Analisis de elasticidades: elasticidad-precio-propio</t>
  </si>
  <si>
    <t xml:space="preserve">Dimension temporal de la funcion de costes &gt; Analisis de estatica comparativa &gt; Variaciones en el coste de los inputs ( w ): Perspectiva de demanda de factores &gt; Analisis de elasticidades: elasticidad-precio-cruzado</t>
  </si>
  <si>
    <t xml:space="preserve">Dimension temporal de la funcion de costes &gt; Analisis de estatica comparativa &gt; Variaciones en el coste de los inputs ( w ): Perspectiva de demanda de factores &gt; Analisis de elasticidades: elasticidad-precio-propio</t>
  </si>
  <si>
    <t xml:space="preserve">Dimension temporal de la funcion de costes &gt; Analisis de estatica comparativa &gt; Variaciones en el coste de los inputs ( w ): Perspectiva de demanda de factores &gt; Ecuacion de SLUTSKY para Teoria de la Produccion red OJO: Encajar en el apartado anterior</t>
  </si>
  <si>
    <t xml:space="preserve">Dimension temporal de la funcion de costes &gt; Analisis de estatica comparativa &gt; Variaciones en el nivel de produccion ( Q ): Perspectiva de costes &gt; Analisis de elasticidades: elasticidad-coste-producto</t>
  </si>
  <si>
    <t xml:space="preserve">Dimension temporal de la funcion de costes &gt; Analisis de estatica comparativa &gt; Variaciones en el nivel de produccion ( Q ): Perspectiva de costes &gt; Analisis grafico: las Curvas de Costes, CT(Q) , CMe(Q) , CMg(Q)</t>
  </si>
  <si>
    <t xml:space="preserve">Dimension temporal de la funcion de costes &gt; Analisis de estatica comparativa &gt; Variaciones en el nivel de produccion ( Q ): Perspectiva de costes &gt; Relaciones: elasticidad-escala y elasticidad-coste-producto</t>
  </si>
  <si>
    <t xml:space="preserve">Dimension temporal de la funcion de costes &gt; Analisis de estatica comparativa &gt; Variaciones en el nivel de produccion (Q): Perspectiva de demanda de factores &gt; Analisis de elasticidades: elasticidad-producto-factor</t>
  </si>
  <si>
    <t xml:space="preserve">Dimension temporal de la funcion de costes &gt; Corto plazo y Largo plazo &gt; Corto plazo: C/p &gt; Desarrollo</t>
  </si>
  <si>
    <t xml:space="preserve">Dimension temporal de la funcion de costes &gt; Corto plazo y Largo plazo &gt; Corto plazo: C/p &gt; Representacion grafica: Desagregacion de costes a corto plazo</t>
  </si>
  <si>
    <t xml:space="preserve">Funcion de costes: Analisis de dualidad &gt; Primas vs. Dual &gt; Dualidad entre funciones de costes y la funcion de produccion</t>
  </si>
  <si>
    <t xml:space="preserve">Funcion de costes: Analisis de dualidad &gt; Primas vs. Dual &gt; Dualidad entre la funcion de beneficio y la de produccion</t>
  </si>
  <si>
    <t xml:space="preserve">Funcion de costes: Analisis de dualidad &gt; Problemas de Maximizacion &gt; _ B^o : Una etapa</t>
  </si>
  <si>
    <t xml:space="preserve">Funcion de costes: Analisis de dualidad &gt; Problemas de Maximizacion &gt; _ B^o : Una etapa &gt; Condiciones necesarias (CPO's)</t>
  </si>
  <si>
    <t xml:space="preserve">Funcion de costes: Analisis de dualidad &gt; Problemas de Maximizacion &gt; _ B^o : Una etapa &gt; Condiciones suficientes (CSO's)</t>
  </si>
  <si>
    <t xml:space="preserve">Funcion de costes: Analisis de dualidad &gt; Problemas de Maximizacion &gt; _ B^o : Una etapa &gt; Funcion Valor de Beneficios</t>
  </si>
  <si>
    <t xml:space="preserve">Funcion de costes: Analisis de dualidad &gt; Problemas de Maximizacion &gt; _ B^o : Una etapa &gt; La Funcion de Oferta (no condicionada) de output</t>
  </si>
  <si>
    <t xml:space="preserve">Funcion de costes: Analisis de dualidad &gt; Problemas de Maximizacion &gt; _ B^o : Una etapa &gt; Sistema Completo de Ecuaciones de Demanda de Inputs No Condicionadas (SCEDINC)</t>
  </si>
  <si>
    <t xml:space="preserve">Funcion de costes: Analisis de dualidad &gt; Problemas de Minimizacion &gt; Condiciones necesarias (CPOS's, Khun-Thucker)</t>
  </si>
  <si>
    <t xml:space="preserve">Funcion de costes: Analisis de dualidad &gt; Problemas de Minimizacion &gt; Condiciones suficientes (CSO's)</t>
  </si>
  <si>
    <t xml:space="preserve">Funcion de costes: Analisis de dualidad &gt; Problemas de Minimizacion &gt; Desarrollo</t>
  </si>
  <si>
    <t xml:space="preserve">Funcion de costes: Analisis de dualidad &gt; Problemas de Minimizacion &gt; Solucion &gt; Funcion Valor de Costes</t>
  </si>
  <si>
    <t xml:space="preserve">Funcion de costes: Analisis de dualidad &gt; Problemas de Minimizacion &gt; Solucion &gt; Sistema Completo de Ecuaciones de Demanda de Inputs Condicionada: SCEDIC</t>
  </si>
  <si>
    <t xml:space="preserve">3.A.15</t>
  </si>
  <si>
    <t xml:space="preserve">La empresa: el tamaño eficiente y sus límites</t>
  </si>
  <si>
    <t xml:space="preserve">Teorias sobre la existencia y estructura interna de la Empresa &gt; Modelo baseline: Enfoque tecnologico &gt; Configuracion de la Industria</t>
  </si>
  <si>
    <t xml:space="preserve">Teorias sobre la existencia y estructura interna de la Empresa &gt; Modelo contractual &gt; Teorias contractuales (II): contratos completos &gt; Teoria de la Agencia</t>
  </si>
  <si>
    <t xml:space="preserve">Equilibrio parcial</t>
  </si>
  <si>
    <t xml:space="preserve">Equilibrio parcial &gt; Analisis normativo: Implicaciones de Politica Economica &gt; Eficiencia: Asignacion de recursos</t>
  </si>
  <si>
    <t xml:space="preserve">Equilibrio parcial &gt; Analisis normativo: Implicaciones de Politica Economica &gt; Eficiencia: Asignacion de recursos &gt; Excedente Total: MARSHALL</t>
  </si>
  <si>
    <t xml:space="preserve">Equilibrio parcial &gt; Analisis positivo: Propiedades &gt; Estabilidad &gt; Ajuste en cantidades: Subastador marshalliano</t>
  </si>
  <si>
    <t xml:space="preserve">Equilibrio parcial &gt; Analisis positivo: Propiedades &gt; Existencia, Unicidad y Multiplicidad</t>
  </si>
  <si>
    <t xml:space="preserve">Primal Planner -- Analisis del Bienestar (2TFEB): Enfoque parcial</t>
  </si>
  <si>
    <t xml:space="preserve">Modelos espaciales: Resolucion analitica</t>
  </si>
  <si>
    <t xml:space="preserve">Regulacion: Informacion perfecta</t>
  </si>
  <si>
    <t xml:space="preserve">Regulacion: ¿Como? &gt; Implicaciones de Politica Economica: NTOI &gt; Informacion asimetrica: Esquemas de incentivos</t>
  </si>
  <si>
    <t xml:space="preserve">Equilibrio General: Economia pura de intercambio &gt; Desarrollo formal &gt; Caracterizacion del Equilibrio</t>
  </si>
  <si>
    <t xml:space="preserve">Equilibrio General: Economia pura de intercambio &gt; Implicaciones positivas &gt; Existencia del EGC</t>
  </si>
  <si>
    <t xml:space="preserve">Equilibrio General: Economia pura de intercambio &gt; Implicaciones positivas &gt; Unicidad del EGC &gt; Unicidad local: Caso general</t>
  </si>
  <si>
    <t xml:space="preserve">Optimo economico: Definicion y caracteristicas</t>
  </si>
  <si>
    <t xml:space="preserve">Optimo economico: Definicion y caracteristicas &gt; Criterio de Pareto: Concepto vectorial del Bienestar Social</t>
  </si>
  <si>
    <t xml:space="preserve">Optimo economico: Definicion y caracteristicas &gt; Optimo de PARETO: Asignacion eficiente &gt; Condiciones de Primer Orden: Analisis Marginal &gt; Optimo de Intercambio</t>
  </si>
  <si>
    <t xml:space="preserve">Optimo economico: Definicion y caracteristicas &gt; Optimo de PARETO: Asignacion eficiente &gt; Condiciones de Primer Orden: Analisis Marginal &gt; Optimo en la produccion</t>
  </si>
  <si>
    <t xml:space="preserve">Optimo economico: Definicion y caracteristicas &gt; Primer Teorema Fundamental de la Economia del Bienestar &gt; Demostracion: Cumplimiento de las condiciones &gt; Equilibrio en el Intercambio</t>
  </si>
  <si>
    <t xml:space="preserve">Optimo economico: Definicion y caracteristicas &gt; Primer Teorema Fundamental de la Economia del Bienestar &gt; Demostracion: Cumplimiento de las condiciones &gt; Equilibrio en la Oferta</t>
  </si>
  <si>
    <t xml:space="preserve">Optimo economico: Definicion y caracteristicas &gt; Primer Teorema Fundamental de la Economia del Bienestar &gt; Demostracion: Cumplimiento de las condiciones &gt; Optimo de PARETO: Eficiencia global</t>
  </si>
  <si>
    <t xml:space="preserve">Optimo economico: Definicion y caracteristicas &gt; Segundo Teorema Fundamental de la Economia del Bienestar &gt; Enunciado: Demostracion</t>
  </si>
  <si>
    <t xml:space="preserve">Teorema Fundamental del Bienestar</t>
  </si>
  <si>
    <t xml:space="preserve">Bienes Publicos</t>
  </si>
  <si>
    <t xml:space="preserve">Bienes Publicos &gt; Definicion: Fallo de Mercado &gt; Implicaciones de Politica Economica</t>
  </si>
  <si>
    <t xml:space="preserve">Public Choice Theory &gt; Fallos del Sector Publico</t>
  </si>
  <si>
    <t xml:space="preserve">3.A.24</t>
  </si>
  <si>
    <t xml:space="preserve">Economía del Bienestar (III)</t>
  </si>
  <si>
    <t xml:space="preserve">Desarrollos posteriores &gt; Public Choice Theory: Funciones de Eleccion Social</t>
  </si>
  <si>
    <t xml:space="preserve">Filosofia Politica: ¿Podemos determinar la satisfaccion del colectivo? &gt; Economia: Fundamentos teoricos</t>
  </si>
  <si>
    <t xml:space="preserve">Filosofia Politica: ¿Podemos determinar la satisfaccion del colectivo? &gt; Economia: Fundamentos teoricos &gt; Egalitarismo: RAWLS</t>
  </si>
  <si>
    <t xml:space="preserve">Filosofia Politica: ¿Podemos determinar la satisfaccion del colectivo? &gt; Economia: Fundamentos teoricos &gt; Utilitarismo: BENTHAM</t>
  </si>
  <si>
    <t xml:space="preserve">Filosofia Politica: ¿Podemos determinar la satisfaccion del colectivo? &gt; Economia: Fundamentos teoricos &gt; Utiltarismo economico: PARETO</t>
  </si>
  <si>
    <t xml:space="preserve">Funcion de Bienestar Social de ARROW (ordinal)</t>
  </si>
  <si>
    <t xml:space="preserve">Funcion de Bienestar Social: Agregacion de preferencias &gt; Funcion de Bienestar Social &gt; Agregador de Preferencias: ARROW &gt; Estado Social: Condicionales Racionales</t>
  </si>
  <si>
    <t xml:space="preserve">Funcion de Bienestar Social: Agregacion de preferencias &gt; Funcion de Bienestar Social &gt; Social Welfare Function: BERGSON y SAMUELSON</t>
  </si>
  <si>
    <t xml:space="preserve">Teorema de Imposibilidad de ARROW: Demoestracion</t>
  </si>
  <si>
    <t xml:space="preserve">Modelo neoclasico &gt; Enfoque estatico &gt; Obtencion de la oferta &gt; Variaciones en la Funcion de Oferta Marshalliana</t>
  </si>
  <si>
    <t xml:space="preserve">Descomposicion del desempleo: Desempleo y Tasa Natural &gt; Desempleo ciclico: Ley de OKUN</t>
  </si>
  <si>
    <t xml:space="preserve">Comodin: Metodologias alternativas &gt; Teoria de Juegos &gt; Juegos de MARKOV y Equilibrio Perfecto de Markov</t>
  </si>
  <si>
    <t xml:space="preserve">Juegos repetidos</t>
  </si>
  <si>
    <t xml:space="preserve">Los datos: series temporales</t>
  </si>
  <si>
    <t xml:space="preserve">Modelizacion dinamica en economia &gt; Componentes &gt; Herramientas matematicas para la optimizacion dinamica &gt; Control optimo: Optimo de PONTRYAGIN</t>
  </si>
  <si>
    <t xml:space="preserve">Modelizacion dinamica en economia &gt; Componentes &gt; Herramientas matematicas para la optimizacion dinamica &gt; Programacion dinamica</t>
  </si>
  <si>
    <t xml:space="preserve">Modelizacion dinamica en economia &gt; Componentes &gt; Preferencias Intertemporales: Funcion de Utilidad Intertemporal</t>
  </si>
  <si>
    <t xml:space="preserve">Modelizacion dinamica en economia &gt; Componentes &gt; Problema de maximizacion: Agrupacion</t>
  </si>
  <si>
    <t xml:space="preserve">Modelizacion dinamica en economia &gt; Componentes &gt; Resolucion &gt; Condicion de EULER</t>
  </si>
  <si>
    <t xml:space="preserve">Modelizacion dinamica en economia &gt; Componentes &gt; Resolucion &gt; Relacion Marginal de Sustitucion Intertemporal</t>
  </si>
  <si>
    <t xml:space="preserve">Modelizacion dinamica en economia &gt; Componentes &gt; Restricciones &gt; Condiciones (iniciales y terminales). Condicion de transversalidad</t>
  </si>
  <si>
    <t xml:space="preserve">Modelizacion dinamica en economia &gt; Componentes &gt; Restricciones &gt; Ecuaciones de estado: recursos (RPI)</t>
  </si>
  <si>
    <t xml:space="preserve">Modelizacion dinamica en economia &gt; Componentes &gt; Variaciones en los parametros del modelo &gt; Imperfecciones en el mercado de capitales</t>
  </si>
  <si>
    <t xml:space="preserve">Modelizacion dinamica en economia &gt; Componentes &gt; Variaciones en los parametros del modelo &gt; Variaciones en el tipo de interes: Elasticidad de Sustitucion Intertemporal</t>
  </si>
  <si>
    <t xml:space="preserve">Modelo Agente-Productor</t>
  </si>
  <si>
    <t xml:space="preserve">3.A.30</t>
  </si>
  <si>
    <t xml:space="preserve">Magnitudes macroeconómicas y contabilidad nacional</t>
  </si>
  <si>
    <t xml:space="preserve">Balances &gt; Macromagnitudes relavantes</t>
  </si>
  <si>
    <t xml:space="preserve">Cuentas corrientes &gt; Cuenta de distribucion secundaria</t>
  </si>
  <si>
    <t xml:space="preserve">Cuentas corrientes &gt; Proceso de distribucion (C.II): Factores de Produccion y Administraciones Publicas &gt; Cuenta de asignacion primaria</t>
  </si>
  <si>
    <t xml:space="preserve">Cuentas corrientes &gt; Proceso de distribucion (C.II): Factores de Produccion y Administraciones Publicas &gt; Cuenta de explotacion</t>
  </si>
  <si>
    <t xml:space="preserve">Cuentas de acumulacion &gt; Cuenta financiera</t>
  </si>
  <si>
    <t xml:space="preserve">Principales caracteristicas y arquitecturas del SCN &gt; La sucesion de cuentas</t>
  </si>
  <si>
    <t xml:space="preserve">Principales caracteristicas y arquitecturas del SCN &gt; Las cuentas: principios contables &gt; Prinicpio de valoracion &gt; Precios basicos</t>
  </si>
  <si>
    <t xml:space="preserve">Principales caracteristicas y arquitecturas del SCN &gt; Las cuentas: principios contables &gt; Prinicpio de valoracion &gt; Precios de adquisicion</t>
  </si>
  <si>
    <t xml:space="preserve">Principales caracteristicas y arquitecturas del SCN &gt; Unidades estadisticas &gt; Unidades Institucionales</t>
  </si>
  <si>
    <t xml:space="preserve">Dinamicas de ajuste: Shocks &gt; Perturbaciones de demanda &gt; Shock (negativo): Perturbaciones de preferencias</t>
  </si>
  <si>
    <t xml:space="preserve">Teoria de la demanda de consumo corriente: Expectativa de vida y amor por la descendencia &gt; Demanda de bienes de consumo duraderos</t>
  </si>
  <si>
    <t xml:space="preserve">Modelizacion moderna de la demanda de dinero &gt; Demanda de dinero: Motivo transaccion &gt; Costes de transaccion: Shopping-Time y CIA &gt; Shopping-Time Models</t>
  </si>
  <si>
    <t xml:space="preserve">Modelizacion tradicional de la demanda de dinero</t>
  </si>
  <si>
    <t xml:space="preserve">3.A.36</t>
  </si>
  <si>
    <t xml:space="preserve">Política Monetaria (I)</t>
  </si>
  <si>
    <t xml:space="preserve">Diseno de la Politica Monetario &gt; Diseno tradicional de la Politica Monetaria &gt; Primera etapa: variable operativa</t>
  </si>
  <si>
    <t xml:space="preserve">Diseno de la Politica Monetario &gt; Diseno tradicional de la Politica Monetaria &gt; Segunda etapa: objetivo final</t>
  </si>
  <si>
    <t xml:space="preserve">Diseno de la Politica Monetario &gt; Los objetivos reales: Debates y controversias persistentes &gt; ¿La dualidad imposible?: Crecimiento y estabilidad</t>
  </si>
  <si>
    <t xml:space="preserve">El Dinero: Creacion de la Oferta Monetaria ( M^s ) &gt; El proceso de creacion del dinero: la Oferta Monetaria &gt; Proceso de creacion de los agregados monetarios: la Oferta Monetaria &gt; Base Monetaria: Banco Central</t>
  </si>
  <si>
    <t xml:space="preserve">El Dinero: Creacion de la Oferta Monetaria ( M^s ) &gt; El proceso de creacion del dinero: la Oferta Monetaria &gt; Proceso de creacion de los agregados monetarios: la Oferta Monetaria &gt; Teoria del Multiplicador Monetario</t>
  </si>
  <si>
    <t xml:space="preserve">Los Mecanismos de Transmision de la Politica Monetaria &gt; Los canales de transmision convencionales &gt; Efectos Riqueza</t>
  </si>
  <si>
    <t xml:space="preserve">Los Mecanismos de Transmision de la Politica Monetaria &gt; Los canales de transmision convencionales &gt; Los Tipos de Interes</t>
  </si>
  <si>
    <t xml:space="preserve">Los Mecanismos de Transmision de la Politica Monetaria &gt; Los canales de transmision convencionales &gt; Mercados financieros: el precio de los activos</t>
  </si>
  <si>
    <t xml:space="preserve">Interrelacion: Politica monetaria no-convencional &gt; Zero-Lower-Bound : Efectos sobre la Politica Fiscal</t>
  </si>
  <si>
    <t xml:space="preserve">Politica Fiscal y Politica Monetaria: Interrelacion</t>
  </si>
  <si>
    <t xml:space="preserve">Extensiones: Otras lineas de investigacion &gt; Hechos Estilizados &gt; Correlacion entre variables: Reales y Nominales</t>
  </si>
  <si>
    <t xml:space="preserve">Marco conceptual: ¿Que es el Ciclo economico? &gt; Objeto de estudio: Implicaciones de Politica Economica &gt; Medicion de los ciclos: ¿errores de medida? &gt; Componente tendencial y ciclico: ¿?</t>
  </si>
  <si>
    <t xml:space="preserve">Teoria Neokeynesiana del Ciclo &gt; Modelo canonico: Derivacion analitica &gt; Curva IS: Hogares</t>
  </si>
  <si>
    <t xml:space="preserve">3.B.1</t>
  </si>
  <si>
    <t xml:space="preserve">La información financiera de las empresas</t>
  </si>
  <si>
    <t xml:space="preserve">Aproximacion analitica a la contabilidad financiera &gt; Analisis economico: Generacion de valor &gt; Ratios de gestion del activo &gt; Ratios de rotacion: formulacion general</t>
  </si>
  <si>
    <t xml:space="preserve">PGC: aproximacion juridico-formal &gt; Balance de situacion: Definicion y criterios de registro</t>
  </si>
  <si>
    <t xml:space="preserve">PGC: aproximacion juridico-formal &gt; Balance de situacion: Definicion y criterios de registro &gt; Patrimonio Neto</t>
  </si>
  <si>
    <t xml:space="preserve">PGC: aproximacion juridico-formal &gt; Cuenta de Perdidad y Ganancias &gt; Resultado del ejercicio &gt; Computo global: Obtencion del resultado del ejercicio</t>
  </si>
  <si>
    <t xml:space="preserve">PGC: aproximacion juridico-formal &gt; Otros documentos de las Cuentas Anuales &gt; Estado de Flujos de Efectivo &gt; Actividades de explotacion</t>
  </si>
  <si>
    <t xml:space="preserve">PGC: aproximacion juridico-formal &gt; Otros documentos de las Cuentas Anuales &gt; Estado de Flujos de Efectivo &gt; Actividades de financiacion</t>
  </si>
  <si>
    <t xml:space="preserve">PGC: aproximacion juridico-formal &gt; Otros documentos de las Cuentas Anuales &gt; Estado de Flujos de Efectivo &gt; Actividades de inversion</t>
  </si>
  <si>
    <t xml:space="preserve">Coste de capital</t>
  </si>
  <si>
    <t xml:space="preserve">Coste de capital &gt; Estimacion directa (marco general): WACC</t>
  </si>
  <si>
    <t xml:space="preserve">Coste de capital &gt; Estimacion indirecta: Composicion del capital</t>
  </si>
  <si>
    <t xml:space="preserve">Valoracion de proyectos: Rentabilidad y Riesgo &gt; Extension: Decisiones con riesgo e incertidumbre &gt; Contingencias futuras: errores de estimacion y sucesos adversos &gt; Riesgo: analisis de sensibilidad</t>
  </si>
  <si>
    <t xml:space="preserve">Valoracion de proyectos: Rentabilidad y Riesgo &gt; Extension: Decisiones con riesgo e incertidumbre &gt; Contingencias futuras: inconsistencias dinamica &gt; Riesgo: Arboles de deicision</t>
  </si>
  <si>
    <t xml:space="preserve">Valoracion de proyectos: Rentabilidad y Riesgo &gt; Modelos baseline: Decisiones sin riesgo &gt; Regla del periodo de recuperacion: Payback</t>
  </si>
  <si>
    <t xml:space="preserve">Valoracion de proyectos: Rentabilidad y Riesgo &gt; Modelos baseline: Decisiones sin riesgo &gt; Tasa Interna de Retorno: TIR</t>
  </si>
  <si>
    <t xml:space="preserve">Valoracion de proyectos: Rentabilidad y Riesgo &gt; Modelos baseline: Decisiones sin riesgo &gt; Tasa Interna de Retorno: TIR &gt; Inconsistencia de la TIR: VAN y TIR</t>
  </si>
  <si>
    <t xml:space="preserve">Valoracion de proyectos: Rentabilidad y Riesgo &gt; Modelos baseline: Decisiones sin riesgo &gt; Valor Actual Neto: VAN</t>
  </si>
  <si>
    <t xml:space="preserve">Valoracion de proyectos: Rentabilidad y Riesgo &gt; Modelos baseline: Decisiones sin riesgo &gt; Valor Actual Neto: VAN &gt; Indice de rentabilidad</t>
  </si>
  <si>
    <t xml:space="preserve">Fuentes de financiacion empresarial</t>
  </si>
  <si>
    <t xml:space="preserve">Fuentes de financiacion empresarial &gt; Financiacion externa &gt; Financiacion via deuda</t>
  </si>
  <si>
    <t xml:space="preserve">Fuentes de financiacion empresarial &gt; Financiacion interna</t>
  </si>
  <si>
    <t xml:space="preserve">Crecimiento inorganico: Modificaciones estructurales</t>
  </si>
  <si>
    <t xml:space="preserve">Evidencia Empirica: Implicaciones de Politica Economica &gt; Determinantes del crecimiento inorganico: Microeconomicos (TOI) &gt; Sinergias: Impacto Microeconomico</t>
  </si>
  <si>
    <t xml:space="preserve">Valoracion de empresas: Metodos &gt; Empresas cotizadas: Capitalizacion bursatil &gt; Ecuacion de canje: Valor relativo</t>
  </si>
  <si>
    <t xml:space="preserve">Valoracion de empresas: Metodos &gt; Empresas no cotizadas</t>
  </si>
  <si>
    <t xml:space="preserve">Valoracion de empresas: Metodos &gt; Empresas no cotizadas &gt; Descuento de Flujos de Caja &gt; Segunda etapa: Construccion del modelo financiero</t>
  </si>
  <si>
    <t xml:space="preserve">Politica Comercial: Efectos &gt; Marco de Equilibrio General: efectos sobre el bienestar agregado &gt; Demanda: CES-isoelastica</t>
  </si>
  <si>
    <t xml:space="preserve">Politica Comercial: Efectos &gt; Marco de Equilibrio General: efectos sobre el bienestar agregado &gt; Equilibrio General: Balanza Comercial</t>
  </si>
  <si>
    <t xml:space="preserve">Politica Comercial: Efectos &gt; Marco de Equilibrio General: efectos sobre el bienestar agregado &gt; Equilibrio General: Balanza Comercial &gt; Equilibrio: Balanza Comercial (descomposicion por cuotas de gasto)</t>
  </si>
  <si>
    <t xml:space="preserve">Politica Comercial: Efectos &gt; Marco de Equilibrio General: efectos sobre el bienestar agregado &gt; Productor:</t>
  </si>
  <si>
    <t xml:space="preserve">Politica Comercial: Efectos &gt; Marco de Equilibrio General: efectos sobre el bienestar agregado &gt; Productor: &gt; Condicion de libre entrada</t>
  </si>
  <si>
    <t xml:space="preserve">Politica Comercial: Efectos &gt; Marco de Equilibrio Parcial: efectos sobre la estructura del mercado</t>
  </si>
  <si>
    <t xml:space="preserve">Politica Comercial: Efectos &gt; Marco de Equilibrio Parcial: efectos sobre la estructura del mercado &gt; Demanda: Curva de demanda lineal</t>
  </si>
  <si>
    <t xml:space="preserve">Politica Comercial: Efectos &gt; Marco de Equilibrio Parcial: efectos sobre la estructura del mercado &gt; Politica Comercial: Efectos sobre los margenes del mercado (microestructura)</t>
  </si>
  <si>
    <t xml:space="preserve">Politica Comercial: Efectos &gt; Marco de Equilibrio Parcial: efectos sobre la estructura del mercado &gt; Politica Comercial: Efectos sobre los margenes del mercado (microestructura) &gt; Liberalizacion bilateral: Tamano de Mercado</t>
  </si>
  <si>
    <t xml:space="preserve">Politica Comercial: Efectos &gt; Marco de Equilibrio Parcial: efectos sobre la estructura del mercado &gt; Politica Comercial: Efectos sobre los margenes del mercado (microestructura) &gt; Liberalizacion comercial: Ventaja comparativa</t>
  </si>
  <si>
    <t xml:space="preserve">Politica Comercial: Efectos &gt; Marco de Equilibrio Parcial: efectos sobre la estructura del mercado &gt; Productor</t>
  </si>
  <si>
    <t xml:space="preserve">Politica Comercial: Efectos &gt; Marco de Equilibrio Parcial: efectos sobre la estructura del mercado &gt; Productor &gt; Condicion de libre entrada: Beneficio esperado</t>
  </si>
  <si>
    <t xml:space="preserve">Efectos de la Integracion Economica: Marco analitico &gt; Enfoque cuantitativo: Metodologia empirica de la integracion economica &gt; Implicaciones de Politica Economica &gt; Resultado (I): Integracion en terminos comerciales</t>
  </si>
  <si>
    <t xml:space="preserve">Metodologia empirica de la integracion: Otros metodos cuantitativos</t>
  </si>
  <si>
    <t xml:space="preserve">3.B.11</t>
  </si>
  <si>
    <t xml:space="preserve">Balanza de Pagos</t>
  </si>
  <si>
    <t xml:space="preserve">Cuentas Internacionales: Marco teorico &gt; Clasificacion &gt; Rubricas: Clasificacion funcional</t>
  </si>
  <si>
    <t xml:space="preserve">Interpretacion: Cuentas desagregadas</t>
  </si>
  <si>
    <t xml:space="preserve">3.B.13</t>
  </si>
  <si>
    <t xml:space="preserve">Mercado de divisas</t>
  </si>
  <si>
    <t xml:space="preserve">Mercado de Divisas: Conceptos y Caracteristicas</t>
  </si>
  <si>
    <t xml:space="preserve">Teorias Tradicionales: Flujos y Paridades &gt; Balanza de Pagos: Flujos de Bienes y Capital &gt; Implicaciones de Politica Economica &gt; Limitaciones: Ajuste de capital limitado</t>
  </si>
  <si>
    <t xml:space="preserve">3.B.20</t>
  </si>
  <si>
    <t xml:space="preserve">Sistema económico internacional (I)</t>
  </si>
  <si>
    <t xml:space="preserve">Bretton-Woods: 1946-1973 &gt; El fin de Bretton Woods: morir de exito &gt; El colapso del Sistema Monetario Internacional: 1971-1976 &gt; Paradoja de TRIFFIN: ¿un final evitable?</t>
  </si>
  <si>
    <t xml:space="preserve">Aproximacion empirica: Tecnicas de valoracion de activos &gt; Descomposicion de un activo: ¿que lo define? &gt; Activo financiero: Rendimiento y riesgo</t>
  </si>
  <si>
    <t xml:space="preserve">Aproximacion empirica: Tecnicas de valoracion de activos &gt; Descomposicion de un activo: ¿que lo define? &gt; Cartera financiera: Rendimiento y riesgo</t>
  </si>
  <si>
    <t xml:space="preserve">Aproximacion empirica: Tecnicas de valoracion de activos &gt; Descomposicion de un activo: ¿que lo define? &gt; Cartera financiera: Rendimiento y riesgo &gt; Covarianza: ¿Que informacion nos proporciona?</t>
  </si>
  <si>
    <t xml:space="preserve">Mercados de deuda: Perspectiva economica &gt; Objeto economico: Valor nominal e interes &gt; Rendimiento ( yield ): ¿Como varia el rendimiento ? &gt; Rendimiento al vencimiento</t>
  </si>
  <si>
    <t xml:space="preserve">Mercados de deuda: Perspectiva economica &gt; Objeto economico: Valor nominal e interes &gt; Rendimiento ( yield ): ¿Como varia el rendimiento ? &gt; Rendimiento corriente</t>
  </si>
  <si>
    <t xml:space="preserve">Mercados de deuda: Perspectiva economica &gt; Objeto economico: Valor nominal e interes &gt; Valor presente: Precio de cotizacion &gt; VAN: Valor presente (precio)</t>
  </si>
  <si>
    <t xml:space="preserve">Mercados de deuda: Perspectiva economica &gt; Riesgo: ¿Por que varia el rendimieto ? &gt; ¿Podemos cuantificar el riesgo?: Algunos estimadores &gt; Convexidad: ¿Como se relaciona el par rentabilidad-precio?</t>
  </si>
  <si>
    <t xml:space="preserve">Mercados de deuda: Perspectiva economica &gt; Riesgo: ¿Por que varia el rendimieto ? &gt; ¿Podemos cuantificar el riesgo?: Algunos estimadores &gt; Duracion: HICKS (1939)</t>
  </si>
  <si>
    <t xml:space="preserve">Mercados de deuda: Perspectiva economica &gt; Riesgo: ¿Por que varia el rendimieto ? &gt; ¿Podemos cuantificar el riesgo?: Algunos estimadores &gt; Duracion: MACAULAY (1938)</t>
  </si>
  <si>
    <t xml:space="preserve">Vision de conjunto: Estructura Temporal de los Tipos de Interes? &gt; Tipo de Interes: ¿Que es? &gt; Curva de Tipos: ¿Como se construye? &gt; Bootstrapping</t>
  </si>
  <si>
    <t xml:space="preserve">Derivados: Desgranando conceptos &gt; Contratos contingentes: Derecho potestativo &gt; El Juego: ¿Quien gana y quien pierde?</t>
  </si>
  <si>
    <t xml:space="preserve">Derivados: Desgranando conceptos &gt; Contratos de permuta: Obligacion continuada &gt; ¿Que valor tiene un contrato de permuta? Reasignacion del riesgo</t>
  </si>
  <si>
    <t xml:space="preserve">¿Innovacion financiera?: Perversion financiera &gt; Gestion del riesgo (I): Instrumentos de mercado</t>
  </si>
  <si>
    <t xml:space="preserve">¿Innovacion financiera?: Perversion financiera &gt; Gestion del riesgo (I): Instrumentos de mercado &gt; Sensibilidades: Linealidad o No-linealidad</t>
  </si>
  <si>
    <t xml:space="preserve">Instrumentos de Gestion del riesgo: cuantificacion y mitigacion del riesgo &gt; Riesgo de credito: Incumplimiento de obligaciones &gt; Ex ante: Calidad creditica y asimetrias informativas</t>
  </si>
  <si>
    <t xml:space="preserve">Instrumentos de Gestion del riesgo: cuantificacion y mitigacion del riesgo &gt; Riesgo de liquidez: Desfase temporal del Balance &gt; Instrumentos de Gestion de Liquidez: SFNB &gt; Grupo LMT (I): Penalizaciones sobre NAV</t>
  </si>
  <si>
    <t xml:space="preserve">Instrumentos de Gestion del riesgo: cuantificacion y mitigacion del riesgo &gt; Riesgo de liquidez: Desfase temporal del Balance &gt; Instrumentos de Gestion de Liquidez: Sistema Bancario &gt; Seguro de depositos: Fondo de Garantia de Depositos</t>
  </si>
  <si>
    <t xml:space="preserve">Instrumentos de Gestion del riesgo: cuantificacion y mitigacion del riesgo &gt; Riesgo de mercado: Deterioros de balance &gt; Value at Risk (VaR): ¿Cuanto puedo llegar a perder? &gt; Metodos parametricos: Estimacion por varianzas y covarianzas (VCV)</t>
  </si>
  <si>
    <t xml:space="preserve">When everything goes wrong: Momentos de crisis &gt; Aproximacion parcial: ¿como y por que emergen situaciones de inestabilidad? &gt; Mercados transparentes: ¿Por que no funcionan como nosotros decimos que funcionen?</t>
  </si>
  <si>
    <t xml:space="preserve">Instrumentos de Gestion de Liquidez (LMT): Sistema Financiero</t>
  </si>
  <si>
    <t xml:space="preserve">Regulacion financiera: Fundamentos Teoricos &gt; Regulacion prudencial: ¿Como hacer estable un sistema inherentemente inestable? &gt; Microprudencial: ¿Como asegurar el mantenimiento de una exposicion adecuada? &gt; Pasivo: Incentivos y exigencias de capital</t>
  </si>
  <si>
    <t xml:space="preserve">3.B.28</t>
  </si>
  <si>
    <t xml:space="preserve">Economía de los países en desarrollo</t>
  </si>
  <si>
    <t xml:space="preserve">Benchmark: ¿que es el desarrollo ? &gt; Proyeccion humana: Desarrollo humano</t>
  </si>
  <si>
    <t xml:space="preserve">Deuda externa: Crisis, causas y consecuencias &gt; HIPC: El lastre de la deuda &gt; Solucion (I): Iniciativas HIPCs (1996; 1999; )</t>
  </si>
  <si>
    <t xml:space="preserve">3.B.43</t>
  </si>
  <si>
    <t xml:space="preserve">El origen del euro</t>
  </si>
  <si>
    <t xml:space="preserve">Politica Monetaria de la Union: la batalla de las ideas &gt; Sistema Monetario Europeo: Post Bretton-Woods &gt; Funcionamiento: ¿Como funcionaba el SME? &gt; Reglas de intervencion</t>
  </si>
  <si>
    <t xml:space="preserve">Dimension distributiva: Herramientas de analisis empirico &gt; Aproximacion cualitativa: Analisis de la progresividad del sistema fiscal &gt; Medidas de progresividad local (estructural): MUSGRAVE y THIN (1948) &gt; Progresion del tipo marginal</t>
  </si>
  <si>
    <t xml:space="preserve">Dimension distributiva: Herramientas de analisis empirico &gt; Aproximacion cualitativa: Analisis de la progresividad del sistema fiscal &gt; Medidas de progresividad local (estructural): MUSGRAVE y THIN (1948) &gt; Progresion del tipo medio</t>
  </si>
  <si>
    <t xml:space="preserve">Dimension distributiva: Herramientas de analisis empirico &gt; Aproximacion cualitativa: Analisis de la progresividad del sistema fiscal &gt; Medidas de progresividad local (estructural): MUSGRAVE y THIN (1948) &gt; Progresion o elasticidad de la carga impositiva</t>
  </si>
  <si>
    <t xml:space="preserve">Dimension distributiva: Herramientas de analisis empirico &gt; Aproximacion cualitativa: Analisis de la progresividad del sistema fiscal &gt; Medidas de progresividad local (estructural): MUSGRAVE y THIN (1948) &gt; Progresion residual</t>
  </si>
  <si>
    <t xml:space="preserve">Dimension distributiva: Herramientas de analisis empirico &gt; Aproximacion cualitativa: Analisis de la progresividad del sistema fiscal &gt; Medidas de progresividad: Global &gt; Indice PO</t>
  </si>
  <si>
    <t xml:space="preserve">Dimension distributiva: Herramientas de analisis empirico &gt; Aproximacion cualitativa: Analisis de la progresividad del sistema fiscal &gt; Medidas de progresividad: Global &gt; Indice de KAKWANI</t>
  </si>
  <si>
    <t xml:space="preserve">Dimension distributiva: Herramientas de analisis empirico &gt; Aproximacion cualitativa: Analisis de la progresividad del sistema fiscal &gt; Medidas de progresividad: Global &gt; Indice de RS</t>
  </si>
  <si>
    <t xml:space="preserve">4.B.12</t>
  </si>
  <si>
    <t xml:space="preserve">Teoría impositiva (VI): Imposición directa</t>
  </si>
  <si>
    <t xml:space="preserve">El objeto de gravamen: ¿como determinar la base imponible? &gt; Base Imponible: ¿como determinarla desde la optica del gasto?</t>
  </si>
  <si>
    <t xml:space="preserve">El objeto de gravamen: ¿como determinar la base imponible? &gt; Base imponible: ¿como determinarla desde la optica del ingreso? &gt; Teoria del incremento patrimonial: SCHANZ (1896), HAIG (1921) y SIMONS (1938)</t>
  </si>
  <si>
    <t xml:space="preserve">Imposicion directa: Periodicos &gt; Renta de las personas juridicas: Impuesto de Sociedades (IS) &gt; ¿Por que gravar la renta de las personas juridica? &gt; Beneficio retenido: Integridad del impuesto sobre la renta personal</t>
  </si>
  <si>
    <t xml:space="preserve">4.B.15</t>
  </si>
  <si>
    <t xml:space="preserve">Empresa Pública</t>
  </si>
  <si>
    <t xml:space="preserve">Evidencia empirica &gt; Analisis para el caso de la Un ion E u ropea: Com ision E u ropea (2016) &gt; Metodologia</t>
  </si>
  <si>
    <t xml:space="preserve">Evidencia empirica &gt; Espana (HERNANDEZ DE COS, 2004) &gt; Metodologia</t>
  </si>
  <si>
    <t xml:space="preserve">4.B.16</t>
  </si>
  <si>
    <t xml:space="preserve">Sistema Fiscal en España (I): Impuesto sobre la Renta de las Personas Físicas</t>
  </si>
  <si>
    <t xml:space="preserve">Divergencias estructurales: ¿Como se define la renta gravable en Espana?</t>
  </si>
  <si>
    <t xml:space="preserve">Criterio</t>
  </si>
  <si>
    <t xml:space="preserve">Un modelo cuenta como DESARROLLADO en un tema solo si hay al menos un bloque de ecuaciones (\eqblock, \[ \], equation o $$) que formaliza alguno de sus postulados. Las menciones en texto, aunque sean muchas, no cuentan.</t>
  </si>
  <si>
    <t xml:space="preserve">Atribución</t>
  </si>
  <si>
    <t xml:space="preserve">Cada bloque se asigna al modelo nombrado en (1) su pie de ecuación (2º argumento de \eqblock), (2) el epígrafe más cercano o sus epígrafes superiores, (3) una atribución manual por ruta de epígrafes cuando el texto no nombra el modelo, o (4) en último caso, la mención más próxima en los 1.200 caracteres previos. Todas las atribuciones por (3) y (4) se revisaron leyendo la ecuación.</t>
  </si>
  <si>
    <t xml:space="preserve">Revisión manual</t>
  </si>
  <si>
    <t xml:space="preserve">Se descartaron 30 atribuciones erróneas y se reasignaron 14 (p. ej. el bloque de "Optimización modelo RAMSEY (ocio-consumo)" en 3.A.35 es shopping-time, no RCK; la "minimización de pérdida social de BARRO" en 3.A.38 es suavización impositiva, no inconsistencia temporal; el modelo de dos períodos de Obstfeld-Rogoff en 3.B.12 es el enfoque intertemporal de la cuenta corriente, no la NOEM-Redux).</t>
  </si>
  <si>
    <t xml:space="preserve">Completo = 4 o más bloques de ecuaciones atribuidos al modelo en el tema; Parcial = 1 a 3. Es un umbral cuantitativo, no un juicio de calidad: un único bloque largo puede contener el modelo entero. La fórmula está en la columna J de "Desarrollos" por si quieres cambiar el umbral.</t>
  </si>
  <si>
    <t xml:space="preserve">Familias</t>
  </si>
  <si>
    <t xml:space="preserve">Original vs. variante es orientativo, como pediste. Se han añadido familias que el temario formaliza aunque no se llamen "modelo" (curva de Phillips, teoría cuantitativa, paridades, equivalencia ricardiana, dinámica de la deuda, monopolio, competencia perfecta...).</t>
  </si>
  <si>
    <t xml:space="preserve">Fuera de alcance</t>
  </si>
  <si>
    <t xml:space="preserve">Formalización que no es un modelo económico (teoría del consumidor/productor y dualidad, contabilidad nacional y empresarial, VAN/TIR, índices de progresividad, teoremas del bienestar, herramientas de optimización dinámica). Está listada en "Formalización sin modelo" por si quieres que alguna se trate como modelo.</t>
  </si>
  <si>
    <t xml:space="preserve">Límite técnico</t>
  </si>
  <si>
    <t xml:space="preserve">Los desarrollos solo gráficos (PNG) o con matemática únicamente en línea ($...$) no se detectan. Si un tema desarrolla un modelo así, aparecerá como ausente.</t>
  </si>
  <si>
    <t xml:space="preserve">Datos</t>
  </si>
  <si>
    <t xml:space="preserve">Repos actualizados (git pull) el 02/10/2026 a las 13:10. 612 bloques atribuidos a 96 familias en 56 temas; 34 familias se desarrollan en 2 o más temas.</t>
  </si>
  <si>
    <t xml:space="preserve">Incidencia</t>
  </si>
  <si>
    <t xml:space="preserve">Tras tu corrección queda un título erróneo: el main.tex de Tema-3.B.34 dice "Tema 4.B.34".</t>
  </si>
</sst>
</file>

<file path=xl/styles.xml><?xml version="1.0" encoding="utf-8"?>
<styleSheet xmlns="http://schemas.openxmlformats.org/spreadsheetml/2006/main">
  <numFmts count="2">
    <numFmt numFmtId="164" formatCode="General"/>
    <numFmt numFmtId="165" formatCode="General"/>
  </numFmts>
  <fonts count="10">
    <font>
      <sz val="11"/>
      <color theme="1"/>
      <name val="Calibri"/>
      <family val="2"/>
      <charset val="1"/>
    </font>
    <font>
      <sz val="10"/>
      <name val="Arial"/>
      <family val="0"/>
    </font>
    <font>
      <sz val="10"/>
      <name val="Arial"/>
      <family val="0"/>
    </font>
    <font>
      <sz val="10"/>
      <name val="Arial"/>
      <family val="0"/>
    </font>
    <font>
      <b val="true"/>
      <sz val="13"/>
      <name val="Arial"/>
      <family val="0"/>
      <charset val="1"/>
    </font>
    <font>
      <i val="true"/>
      <sz val="9"/>
      <name val="Arial"/>
      <family val="0"/>
      <charset val="1"/>
    </font>
    <font>
      <b val="true"/>
      <sz val="10"/>
      <color rgb="FFFFFFFF"/>
      <name val="Arial"/>
      <family val="0"/>
      <charset val="1"/>
    </font>
    <font>
      <sz val="10"/>
      <name val="Arial"/>
      <family val="0"/>
      <charset val="1"/>
    </font>
    <font>
      <b val="true"/>
      <sz val="10"/>
      <name val="Arial"/>
      <family val="0"/>
      <charset val="1"/>
    </font>
    <font>
      <sz val="8"/>
      <name val="Arial"/>
      <family val="0"/>
      <charset val="1"/>
    </font>
  </fonts>
  <fills count="3">
    <fill>
      <patternFill patternType="none"/>
    </fill>
    <fill>
      <patternFill patternType="gray125"/>
    </fill>
    <fill>
      <patternFill patternType="solid">
        <fgColor rgb="FF1F3864"/>
        <bgColor rgb="FF333333"/>
      </patternFill>
    </fill>
  </fills>
  <borders count="3">
    <border diagonalUp="false" diagonalDown="false">
      <left/>
      <right/>
      <top/>
      <bottom/>
      <diagonal/>
    </border>
    <border diagonalUp="false" diagonalDown="false">
      <left/>
      <right/>
      <top/>
      <bottom style="thin">
        <color rgb="FFBFBFBF"/>
      </bottom>
      <diagonal/>
    </border>
    <border diagonalUp="false" diagonalDown="false">
      <left/>
      <right/>
      <top style="thin">
        <color rgb="FF1F3864"/>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8">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4" fontId="6" fillId="2" borderId="0" xfId="0" applyFont="true" applyBorder="false" applyAlignment="true" applyProtection="false">
      <alignment horizontal="general" vertical="center" textRotation="0" wrapText="true" indent="0" shrinkToFit="false"/>
      <protection locked="true" hidden="false"/>
    </xf>
    <xf numFmtId="164" fontId="7" fillId="0" borderId="1" xfId="0" applyFont="true" applyBorder="true" applyAlignment="true" applyProtection="false">
      <alignment horizontal="center" vertical="top" textRotation="0" wrapText="false" indent="0" shrinkToFit="false"/>
      <protection locked="true" hidden="false"/>
    </xf>
    <xf numFmtId="164" fontId="8" fillId="0" borderId="1" xfId="0" applyFont="true" applyBorder="true" applyAlignment="true" applyProtection="false">
      <alignment horizontal="general" vertical="top" textRotation="0" wrapText="true" indent="0" shrinkToFit="false"/>
      <protection locked="true" hidden="false"/>
    </xf>
    <xf numFmtId="164" fontId="7" fillId="0" borderId="1" xfId="0" applyFont="true" applyBorder="true" applyAlignment="true" applyProtection="false">
      <alignment horizontal="general" vertical="top" textRotation="0" wrapText="true" indent="0" shrinkToFit="false"/>
      <protection locked="true" hidden="false"/>
    </xf>
    <xf numFmtId="164" fontId="8" fillId="0" borderId="2" xfId="0" applyFont="true" applyBorder="true" applyAlignment="true" applyProtection="false">
      <alignment horizontal="general" vertical="top" textRotation="0" wrapText="true" indent="0" shrinkToFit="false"/>
      <protection locked="true" hidden="false"/>
    </xf>
    <xf numFmtId="164" fontId="7" fillId="0" borderId="2" xfId="0" applyFont="true" applyBorder="true" applyAlignment="true" applyProtection="false">
      <alignment horizontal="general" vertical="top" textRotation="0" wrapText="true" indent="0" shrinkToFit="false"/>
      <protection locked="true" hidden="false"/>
    </xf>
    <xf numFmtId="164" fontId="8"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true" indent="0" shrinkToFit="false"/>
      <protection locked="true" hidden="false"/>
    </xf>
    <xf numFmtId="164" fontId="7" fillId="0" borderId="0" xfId="0" applyFont="true" applyBorder="false" applyAlignment="true" applyProtection="false">
      <alignment horizontal="general" vertical="top" textRotation="0" wrapText="false" indent="0" shrinkToFit="false"/>
      <protection locked="true" hidden="false"/>
    </xf>
    <xf numFmtId="164" fontId="6" fillId="2" borderId="0" xfId="0" applyFont="true" applyBorder="false" applyAlignment="true" applyProtection="false">
      <alignment horizontal="center" vertical="bottom" textRotation="90" wrapText="false" indent="0" shrinkToFit="false"/>
      <protection locked="true" hidden="false"/>
    </xf>
    <xf numFmtId="164" fontId="8" fillId="0" borderId="0" xfId="0" applyFont="true" applyBorder="false" applyAlignment="false" applyProtection="false">
      <alignment horizontal="general" vertical="bottom" textRotation="0" wrapText="false" indent="0" shrinkToFit="false"/>
      <protection locked="true" hidden="false"/>
    </xf>
    <xf numFmtId="165" fontId="7"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center" vertical="bottom" textRotation="0" wrapText="false" indent="0" shrinkToFit="false"/>
      <protection locked="true" hidden="false"/>
    </xf>
    <xf numFmtId="165" fontId="8" fillId="0" borderId="0" xfId="0" applyFont="true" applyBorder="false" applyAlignment="true" applyProtection="false">
      <alignment horizontal="center"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fgColor rgb="FFE2EFDA"/>
          <bgColor rgb="FF000000"/>
        </patternFill>
      </fill>
    </dxf>
    <dxf>
      <fill>
        <patternFill patternType="solid">
          <bgColor rgb="FF000000"/>
        </patternFill>
      </fill>
    </dxf>
    <dxf>
      <fill>
        <patternFill patternType="solid">
          <fgColor rgb="FFFFFFFF"/>
          <bgColor rgb="FF000000"/>
        </patternFill>
      </fill>
    </dxf>
    <dxf>
      <fill>
        <patternFill>
          <bgColor rgb="FFE2EFDA"/>
        </patternFill>
      </fill>
    </dxf>
    <dxf>
      <font>
        <name val="Arial"/>
        <charset val="1"/>
        <family val="0"/>
        <b val="1"/>
        <color rgb="FF1F3864"/>
        <sz val="10"/>
      </font>
    </dxf>
    <dxf>
      <font>
        <name val="Arial"/>
        <charset val="1"/>
        <family val="0"/>
        <color rgb="FFFFFFFF"/>
        <sz val="8"/>
      </font>
      <fill>
        <patternFill>
          <bgColor rgb="FF1F3864"/>
        </patternFill>
      </fill>
    </dxf>
    <dxf>
      <font>
        <name val="Arial"/>
        <charset val="1"/>
        <family val="0"/>
        <color rgb="FF000000"/>
        <sz val="8"/>
      </font>
      <fill>
        <patternFill>
          <bgColor rgb="FF8EA9DB"/>
        </patternFill>
      </fill>
    </dxf>
    <dxf>
      <font>
        <name val="Arial"/>
        <charset val="1"/>
        <family val="0"/>
        <color rgb="FFFFFFFF"/>
        <sz val="8"/>
      </font>
      <fill>
        <patternFill>
          <bgColor rgb="FF2F5597"/>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808080"/>
      <rgbColor rgb="FF8EA9DB"/>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1F3864"/>
      <rgbColor rgb="FF339966"/>
      <rgbColor rgb="FF003300"/>
      <rgbColor rgb="FF333300"/>
      <rgbColor rgb="FF993300"/>
      <rgbColor rgb="FF993366"/>
      <rgbColor rgb="FF2F5597"/>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ables/table1.xml><?xml version="1.0" encoding="utf-8"?>
<table xmlns="http://schemas.openxmlformats.org/spreadsheetml/2006/main" id="1" name="Desarrollos" displayName="Desarrollos" ref="A1:K181" headerRowCount="1" totalsRowCount="0" totalsRowShown="0">
  <autoFilter ref="A1:K181"/>
  <tableColumns count="11">
    <tableColumn id="1" name="Área"/>
    <tableColumn id="2" name="Familia (modelo original)"/>
    <tableColumn id="3" name="Referencia original"/>
    <tableColumn id="4" name="Forma desarrollada"/>
    <tableColumn id="5" name="Tipo"/>
    <tableColumn id="6" name="Tema"/>
    <tableColumn id="7" name="Título del tema"/>
    <tableColumn id="8" name="Epígrafe(s) donde se desarrolla"/>
    <tableColumn id="9" name="Nº bloques de ecuaciones"/>
    <tableColumn id="10" name="Grado"/>
    <tableColumn id="11" name="Muestra de la formalización (LaTeX)"/>
  </tableColumns>
</table>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table" Target="../tables/table1.xml"/>
</Relationships>
</file>

<file path=xl/worksheets/_rels/sheet5.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100"/>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2" ySplit="4" topLeftCell="C5" activePane="bottomRight" state="frozen"/>
      <selection pane="topLeft" activeCell="A1" activeCellId="0" sqref="A1"/>
      <selection pane="topRight" activeCell="C1" activeCellId="0" sqref="C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36"/>
    <col collapsed="false" customWidth="true" hidden="false" outlineLevel="0" max="3" min="3" style="0" width="30"/>
    <col collapsed="false" customWidth="true" hidden="false" outlineLevel="0" max="4" min="4" style="0" width="22"/>
    <col collapsed="false" customWidth="true" hidden="false" outlineLevel="0" max="5" min="5" style="0" width="52"/>
    <col collapsed="false" customWidth="true" hidden="false" outlineLevel="0" max="6" min="6" style="0" width="10"/>
    <col collapsed="false" customWidth="true" hidden="false" outlineLevel="0" max="7" min="7" style="0" width="11"/>
    <col collapsed="false" customWidth="true" hidden="false" outlineLevel="0" max="8" min="8" style="0" width="10"/>
    <col collapsed="false" customWidth="true" hidden="false" outlineLevel="0" max="9" min="9" style="0" width="11"/>
  </cols>
  <sheetData>
    <row r="1" customFormat="false" ht="16.15" hidden="false" customHeight="false" outlineLevel="0" collapsed="false">
      <c r="A1" s="1" t="s">
        <v>0</v>
      </c>
    </row>
    <row r="2" customFormat="false" ht="30" hidden="false" customHeight="true" outlineLevel="0" collapsed="false">
      <c r="A2" s="2" t="s">
        <v>1</v>
      </c>
      <c r="B2" s="2"/>
      <c r="C2" s="2"/>
      <c r="D2" s="2"/>
      <c r="E2" s="2"/>
      <c r="F2" s="2"/>
      <c r="G2" s="2"/>
      <c r="H2" s="2"/>
      <c r="I2" s="2"/>
    </row>
    <row r="4" customFormat="false" ht="30" hidden="false" customHeight="true" outlineLevel="0" collapsed="false">
      <c r="A4" s="3" t="s">
        <v>2</v>
      </c>
      <c r="B4" s="3" t="s">
        <v>3</v>
      </c>
      <c r="C4" s="3" t="s">
        <v>4</v>
      </c>
      <c r="D4" s="3" t="s">
        <v>5</v>
      </c>
      <c r="E4" s="3" t="s">
        <v>6</v>
      </c>
      <c r="F4" s="3" t="s">
        <v>7</v>
      </c>
      <c r="G4" s="3" t="s">
        <v>8</v>
      </c>
      <c r="H4" s="3" t="s">
        <v>9</v>
      </c>
      <c r="I4" s="3" t="s">
        <v>10</v>
      </c>
    </row>
    <row r="5" customFormat="false" ht="15" hidden="false" customHeight="false" outlineLevel="0" collapsed="false">
      <c r="A5" s="4" t="s">
        <v>11</v>
      </c>
      <c r="B5" s="5" t="s">
        <v>12</v>
      </c>
      <c r="C5" s="6" t="s">
        <v>13</v>
      </c>
      <c r="D5" s="6" t="s">
        <v>14</v>
      </c>
      <c r="E5" s="6" t="s">
        <v>15</v>
      </c>
      <c r="F5" s="4" t="n">
        <f aca="false">SUMPRODUCT((Desarrollos!$B$2:$B$181=B5)/COUNTIFS(Desarrollos!$B$2:$B$181,Desarrollos!$B$2:$B$181,Desarrollos!$F$2:$F$181,Desarrollos!$F$2:$F$181))</f>
        <v>1</v>
      </c>
      <c r="G5" s="4" t="n">
        <f aca="false">COUNTIF(Desarrollos!$B$2:$B$181,B5)</f>
        <v>1</v>
      </c>
      <c r="H5" s="4" t="n">
        <f aca="false">COUNTIFS(Desarrollos!$B$2:$B$181,B5,Desarrollos!$I$2:$I$181,"&gt;=4")</f>
        <v>0</v>
      </c>
      <c r="I5" s="4" t="str">
        <f aca="false">IF(F5&gt;=2,"Sí","No")</f>
        <v>No</v>
      </c>
    </row>
    <row r="6" customFormat="false" ht="15" hidden="false" customHeight="false" outlineLevel="0" collapsed="false">
      <c r="A6" s="4" t="s">
        <v>11</v>
      </c>
      <c r="B6" s="5" t="s">
        <v>16</v>
      </c>
      <c r="C6" s="6" t="s">
        <v>17</v>
      </c>
      <c r="D6" s="6" t="s">
        <v>18</v>
      </c>
      <c r="E6" s="6" t="s">
        <v>15</v>
      </c>
      <c r="F6" s="4" t="n">
        <f aca="false">SUMPRODUCT((Desarrollos!$B$2:$B$181=B6)/COUNTIFS(Desarrollos!$B$2:$B$181,Desarrollos!$B$2:$B$181,Desarrollos!$F$2:$F$181,Desarrollos!$F$2:$F$181))</f>
        <v>1</v>
      </c>
      <c r="G6" s="4" t="n">
        <f aca="false">COUNTIF(Desarrollos!$B$2:$B$181,B6)</f>
        <v>1</v>
      </c>
      <c r="H6" s="4" t="n">
        <f aca="false">COUNTIFS(Desarrollos!$B$2:$B$181,B6,Desarrollos!$I$2:$I$181,"&gt;=4")</f>
        <v>0</v>
      </c>
      <c r="I6" s="4" t="str">
        <f aca="false">IF(F6&gt;=2,"Sí","No")</f>
        <v>No</v>
      </c>
    </row>
    <row r="7" customFormat="false" ht="23.85" hidden="false" customHeight="false" outlineLevel="0" collapsed="false">
      <c r="A7" s="4" t="s">
        <v>11</v>
      </c>
      <c r="B7" s="5" t="s">
        <v>19</v>
      </c>
      <c r="C7" s="6" t="s">
        <v>20</v>
      </c>
      <c r="D7" s="6" t="s">
        <v>21</v>
      </c>
      <c r="E7" s="6" t="s">
        <v>22</v>
      </c>
      <c r="F7" s="4" t="n">
        <f aca="false">SUMPRODUCT((Desarrollos!$B$2:$B$181=B7)/COUNTIFS(Desarrollos!$B$2:$B$181,Desarrollos!$B$2:$B$181,Desarrollos!$F$2:$F$181,Desarrollos!$F$2:$F$181))</f>
        <v>2</v>
      </c>
      <c r="G7" s="4" t="n">
        <f aca="false">COUNTIF(Desarrollos!$B$2:$B$181,B7)</f>
        <v>3</v>
      </c>
      <c r="H7" s="4" t="n">
        <f aca="false">COUNTIFS(Desarrollos!$B$2:$B$181,B7,Desarrollos!$I$2:$I$181,"&gt;=4")</f>
        <v>2</v>
      </c>
      <c r="I7" s="4" t="str">
        <f aca="false">IF(F7&gt;=2,"Sí","No")</f>
        <v>Sí</v>
      </c>
    </row>
    <row r="8" customFormat="false" ht="15" hidden="false" customHeight="false" outlineLevel="0" collapsed="false">
      <c r="A8" s="4" t="s">
        <v>11</v>
      </c>
      <c r="B8" s="5" t="s">
        <v>23</v>
      </c>
      <c r="C8" s="6" t="s">
        <v>24</v>
      </c>
      <c r="D8" s="6" t="s">
        <v>25</v>
      </c>
      <c r="E8" s="6" t="s">
        <v>26</v>
      </c>
      <c r="F8" s="4" t="n">
        <f aca="false">SUMPRODUCT((Desarrollos!$B$2:$B$181=B8)/COUNTIFS(Desarrollos!$B$2:$B$181,Desarrollos!$B$2:$B$181,Desarrollos!$F$2:$F$181,Desarrollos!$F$2:$F$181))</f>
        <v>2</v>
      </c>
      <c r="G8" s="4" t="n">
        <f aca="false">COUNTIF(Desarrollos!$B$2:$B$181,B8)</f>
        <v>2</v>
      </c>
      <c r="H8" s="4" t="n">
        <f aca="false">COUNTIFS(Desarrollos!$B$2:$B$181,B8,Desarrollos!$I$2:$I$181,"&gt;=4")</f>
        <v>1</v>
      </c>
      <c r="I8" s="4" t="str">
        <f aca="false">IF(F8&gt;=2,"Sí","No")</f>
        <v>Sí</v>
      </c>
    </row>
    <row r="9" customFormat="false" ht="15" hidden="false" customHeight="false" outlineLevel="0" collapsed="false">
      <c r="A9" s="4" t="s">
        <v>11</v>
      </c>
      <c r="B9" s="5" t="s">
        <v>27</v>
      </c>
      <c r="C9" s="6" t="s">
        <v>28</v>
      </c>
      <c r="D9" s="6" t="s">
        <v>29</v>
      </c>
      <c r="E9" s="6" t="s">
        <v>30</v>
      </c>
      <c r="F9" s="4" t="n">
        <f aca="false">SUMPRODUCT((Desarrollos!$B$2:$B$181=B9)/COUNTIFS(Desarrollos!$B$2:$B$181,Desarrollos!$B$2:$B$181,Desarrollos!$F$2:$F$181,Desarrollos!$F$2:$F$181))</f>
        <v>1</v>
      </c>
      <c r="G9" s="4" t="n">
        <f aca="false">COUNTIF(Desarrollos!$B$2:$B$181,B9)</f>
        <v>2</v>
      </c>
      <c r="H9" s="4" t="n">
        <f aca="false">COUNTIFS(Desarrollos!$B$2:$B$181,B9,Desarrollos!$I$2:$I$181,"&gt;=4")</f>
        <v>1</v>
      </c>
      <c r="I9" s="4" t="str">
        <f aca="false">IF(F9&gt;=2,"Sí","No")</f>
        <v>No</v>
      </c>
    </row>
    <row r="10" customFormat="false" ht="15" hidden="false" customHeight="false" outlineLevel="0" collapsed="false">
      <c r="A10" s="4" t="s">
        <v>11</v>
      </c>
      <c r="B10" s="5" t="s">
        <v>31</v>
      </c>
      <c r="C10" s="6" t="s">
        <v>32</v>
      </c>
      <c r="D10" s="6" t="s">
        <v>29</v>
      </c>
      <c r="E10" s="6" t="s">
        <v>15</v>
      </c>
      <c r="F10" s="4" t="n">
        <f aca="false">SUMPRODUCT((Desarrollos!$B$2:$B$181=B10)/COUNTIFS(Desarrollos!$B$2:$B$181,Desarrollos!$B$2:$B$181,Desarrollos!$F$2:$F$181,Desarrollos!$F$2:$F$181))</f>
        <v>1</v>
      </c>
      <c r="G10" s="4" t="n">
        <f aca="false">COUNTIF(Desarrollos!$B$2:$B$181,B10)</f>
        <v>1</v>
      </c>
      <c r="H10" s="4" t="n">
        <f aca="false">COUNTIFS(Desarrollos!$B$2:$B$181,B10,Desarrollos!$I$2:$I$181,"&gt;=4")</f>
        <v>0</v>
      </c>
      <c r="I10" s="4" t="str">
        <f aca="false">IF(F10&gt;=2,"Sí","No")</f>
        <v>No</v>
      </c>
    </row>
    <row r="11" customFormat="false" ht="15" hidden="false" customHeight="false" outlineLevel="0" collapsed="false">
      <c r="A11" s="4" t="s">
        <v>11</v>
      </c>
      <c r="B11" s="5" t="s">
        <v>33</v>
      </c>
      <c r="C11" s="6" t="s">
        <v>34</v>
      </c>
      <c r="D11" s="6" t="s">
        <v>35</v>
      </c>
      <c r="E11" s="6" t="s">
        <v>36</v>
      </c>
      <c r="F11" s="4" t="n">
        <f aca="false">SUMPRODUCT((Desarrollos!$B$2:$B$181=B11)/COUNTIFS(Desarrollos!$B$2:$B$181,Desarrollos!$B$2:$B$181,Desarrollos!$F$2:$F$181,Desarrollos!$F$2:$F$181))</f>
        <v>1</v>
      </c>
      <c r="G11" s="4" t="n">
        <f aca="false">COUNTIF(Desarrollos!$B$2:$B$181,B11)</f>
        <v>2</v>
      </c>
      <c r="H11" s="4" t="n">
        <f aca="false">COUNTIFS(Desarrollos!$B$2:$B$181,B11,Desarrollos!$I$2:$I$181,"&gt;=4")</f>
        <v>0</v>
      </c>
      <c r="I11" s="4" t="str">
        <f aca="false">IF(F11&gt;=2,"Sí","No")</f>
        <v>No</v>
      </c>
    </row>
    <row r="12" customFormat="false" ht="23.85" hidden="false" customHeight="false" outlineLevel="0" collapsed="false">
      <c r="A12" s="4" t="s">
        <v>11</v>
      </c>
      <c r="B12" s="5" t="s">
        <v>37</v>
      </c>
      <c r="C12" s="6" t="s">
        <v>38</v>
      </c>
      <c r="D12" s="6" t="s">
        <v>39</v>
      </c>
      <c r="E12" s="6" t="s">
        <v>40</v>
      </c>
      <c r="F12" s="4" t="n">
        <f aca="false">SUMPRODUCT((Desarrollos!$B$2:$B$181=B12)/COUNTIFS(Desarrollos!$B$2:$B$181,Desarrollos!$B$2:$B$181,Desarrollos!$F$2:$F$181,Desarrollos!$F$2:$F$181))</f>
        <v>1</v>
      </c>
      <c r="G12" s="4" t="n">
        <f aca="false">COUNTIF(Desarrollos!$B$2:$B$181,B12)</f>
        <v>2</v>
      </c>
      <c r="H12" s="4" t="n">
        <f aca="false">COUNTIFS(Desarrollos!$B$2:$B$181,B12,Desarrollos!$I$2:$I$181,"&gt;=4")</f>
        <v>1</v>
      </c>
      <c r="I12" s="4" t="str">
        <f aca="false">IF(F12&gt;=2,"Sí","No")</f>
        <v>No</v>
      </c>
    </row>
    <row r="13" customFormat="false" ht="15" hidden="false" customHeight="false" outlineLevel="0" collapsed="false">
      <c r="A13" s="4" t="s">
        <v>11</v>
      </c>
      <c r="B13" s="5" t="s">
        <v>41</v>
      </c>
      <c r="C13" s="6" t="s">
        <v>42</v>
      </c>
      <c r="D13" s="6" t="s">
        <v>25</v>
      </c>
      <c r="E13" s="6" t="s">
        <v>43</v>
      </c>
      <c r="F13" s="4" t="n">
        <f aca="false">SUMPRODUCT((Desarrollos!$B$2:$B$181=B13)/COUNTIFS(Desarrollos!$B$2:$B$181,Desarrollos!$B$2:$B$181,Desarrollos!$F$2:$F$181,Desarrollos!$F$2:$F$181))</f>
        <v>1</v>
      </c>
      <c r="G13" s="4" t="n">
        <f aca="false">COUNTIF(Desarrollos!$B$2:$B$181,B13)</f>
        <v>1</v>
      </c>
      <c r="H13" s="4" t="n">
        <f aca="false">COUNTIFS(Desarrollos!$B$2:$B$181,B13,Desarrollos!$I$2:$I$181,"&gt;=4")</f>
        <v>0</v>
      </c>
      <c r="I13" s="4" t="str">
        <f aca="false">IF(F13&gt;=2,"Sí","No")</f>
        <v>No</v>
      </c>
    </row>
    <row r="14" customFormat="false" ht="15" hidden="false" customHeight="false" outlineLevel="0" collapsed="false">
      <c r="A14" s="4" t="s">
        <v>11</v>
      </c>
      <c r="B14" s="5" t="s">
        <v>44</v>
      </c>
      <c r="C14" s="6" t="s">
        <v>45</v>
      </c>
      <c r="D14" s="6" t="s">
        <v>39</v>
      </c>
      <c r="E14" s="6" t="s">
        <v>46</v>
      </c>
      <c r="F14" s="4" t="n">
        <f aca="false">SUMPRODUCT((Desarrollos!$B$2:$B$181=B14)/COUNTIFS(Desarrollos!$B$2:$B$181,Desarrollos!$B$2:$B$181,Desarrollos!$F$2:$F$181,Desarrollos!$F$2:$F$181))</f>
        <v>2</v>
      </c>
      <c r="G14" s="4" t="n">
        <f aca="false">COUNTIF(Desarrollos!$B$2:$B$181,B14)</f>
        <v>2</v>
      </c>
      <c r="H14" s="4" t="n">
        <f aca="false">COUNTIFS(Desarrollos!$B$2:$B$181,B14,Desarrollos!$I$2:$I$181,"&gt;=4")</f>
        <v>0</v>
      </c>
      <c r="I14" s="4" t="str">
        <f aca="false">IF(F14&gt;=2,"Sí","No")</f>
        <v>Sí</v>
      </c>
    </row>
    <row r="15" customFormat="false" ht="23.85" hidden="false" customHeight="false" outlineLevel="0" collapsed="false">
      <c r="A15" s="4" t="s">
        <v>11</v>
      </c>
      <c r="B15" s="5" t="s">
        <v>47</v>
      </c>
      <c r="C15" s="6" t="s">
        <v>48</v>
      </c>
      <c r="D15" s="6" t="s">
        <v>49</v>
      </c>
      <c r="E15" s="6" t="s">
        <v>50</v>
      </c>
      <c r="F15" s="4" t="n">
        <f aca="false">SUMPRODUCT((Desarrollos!$B$2:$B$181=B15)/COUNTIFS(Desarrollos!$B$2:$B$181,Desarrollos!$B$2:$B$181,Desarrollos!$F$2:$F$181,Desarrollos!$F$2:$F$181))</f>
        <v>2</v>
      </c>
      <c r="G15" s="4" t="n">
        <f aca="false">COUNTIF(Desarrollos!$B$2:$B$181,B15)</f>
        <v>3</v>
      </c>
      <c r="H15" s="4" t="n">
        <f aca="false">COUNTIFS(Desarrollos!$B$2:$B$181,B15,Desarrollos!$I$2:$I$181,"&gt;=4")</f>
        <v>2</v>
      </c>
      <c r="I15" s="4" t="str">
        <f aca="false">IF(F15&gt;=2,"Sí","No")</f>
        <v>Sí</v>
      </c>
    </row>
    <row r="16" customFormat="false" ht="15" hidden="false" customHeight="false" outlineLevel="0" collapsed="false">
      <c r="A16" s="4" t="s">
        <v>11</v>
      </c>
      <c r="B16" s="5" t="s">
        <v>51</v>
      </c>
      <c r="C16" s="6" t="s">
        <v>52</v>
      </c>
      <c r="D16" s="6" t="s">
        <v>53</v>
      </c>
      <c r="E16" s="6" t="s">
        <v>15</v>
      </c>
      <c r="F16" s="4" t="n">
        <f aca="false">SUMPRODUCT((Desarrollos!$B$2:$B$181=B16)/COUNTIFS(Desarrollos!$B$2:$B$181,Desarrollos!$B$2:$B$181,Desarrollos!$F$2:$F$181,Desarrollos!$F$2:$F$181))</f>
        <v>1</v>
      </c>
      <c r="G16" s="4" t="n">
        <f aca="false">COUNTIF(Desarrollos!$B$2:$B$181,B16)</f>
        <v>1</v>
      </c>
      <c r="H16" s="4" t="n">
        <f aca="false">COUNTIFS(Desarrollos!$B$2:$B$181,B16,Desarrollos!$I$2:$I$181,"&gt;=4")</f>
        <v>0</v>
      </c>
      <c r="I16" s="4" t="str">
        <f aca="false">IF(F16&gt;=2,"Sí","No")</f>
        <v>No</v>
      </c>
    </row>
    <row r="17" customFormat="false" ht="15" hidden="false" customHeight="false" outlineLevel="0" collapsed="false">
      <c r="A17" s="4" t="s">
        <v>11</v>
      </c>
      <c r="B17" s="5" t="s">
        <v>54</v>
      </c>
      <c r="C17" s="6" t="s">
        <v>55</v>
      </c>
      <c r="D17" s="6" t="s">
        <v>56</v>
      </c>
      <c r="E17" s="6" t="s">
        <v>15</v>
      </c>
      <c r="F17" s="4" t="n">
        <f aca="false">SUMPRODUCT((Desarrollos!$B$2:$B$181=B17)/COUNTIFS(Desarrollos!$B$2:$B$181,Desarrollos!$B$2:$B$181,Desarrollos!$F$2:$F$181,Desarrollos!$F$2:$F$181))</f>
        <v>1</v>
      </c>
      <c r="G17" s="4" t="n">
        <f aca="false">COUNTIF(Desarrollos!$B$2:$B$181,B17)</f>
        <v>1</v>
      </c>
      <c r="H17" s="4" t="n">
        <f aca="false">COUNTIFS(Desarrollos!$B$2:$B$181,B17,Desarrollos!$I$2:$I$181,"&gt;=4")</f>
        <v>0</v>
      </c>
      <c r="I17" s="4" t="str">
        <f aca="false">IF(F17&gt;=2,"Sí","No")</f>
        <v>No</v>
      </c>
    </row>
    <row r="18" customFormat="false" ht="15" hidden="false" customHeight="false" outlineLevel="0" collapsed="false">
      <c r="A18" s="4" t="s">
        <v>11</v>
      </c>
      <c r="B18" s="5" t="s">
        <v>57</v>
      </c>
      <c r="C18" s="6" t="s">
        <v>58</v>
      </c>
      <c r="D18" s="6" t="s">
        <v>56</v>
      </c>
      <c r="E18" s="6" t="s">
        <v>15</v>
      </c>
      <c r="F18" s="4" t="n">
        <f aca="false">SUMPRODUCT((Desarrollos!$B$2:$B$181=B18)/COUNTIFS(Desarrollos!$B$2:$B$181,Desarrollos!$B$2:$B$181,Desarrollos!$F$2:$F$181,Desarrollos!$F$2:$F$181))</f>
        <v>1</v>
      </c>
      <c r="G18" s="4" t="n">
        <f aca="false">COUNTIF(Desarrollos!$B$2:$B$181,B18)</f>
        <v>1</v>
      </c>
      <c r="H18" s="4" t="n">
        <f aca="false">COUNTIFS(Desarrollos!$B$2:$B$181,B18,Desarrollos!$I$2:$I$181,"&gt;=4")</f>
        <v>0</v>
      </c>
      <c r="I18" s="4" t="str">
        <f aca="false">IF(F18&gt;=2,"Sí","No")</f>
        <v>No</v>
      </c>
    </row>
    <row r="19" customFormat="false" ht="15" hidden="false" customHeight="false" outlineLevel="0" collapsed="false">
      <c r="A19" s="4" t="s">
        <v>59</v>
      </c>
      <c r="B19" s="5" t="s">
        <v>60</v>
      </c>
      <c r="C19" s="6" t="s">
        <v>61</v>
      </c>
      <c r="D19" s="6" t="s">
        <v>62</v>
      </c>
      <c r="E19" s="6" t="s">
        <v>15</v>
      </c>
      <c r="F19" s="4" t="n">
        <f aca="false">SUMPRODUCT((Desarrollos!$B$2:$B$181=B19)/COUNTIFS(Desarrollos!$B$2:$B$181,Desarrollos!$B$2:$B$181,Desarrollos!$F$2:$F$181,Desarrollos!$F$2:$F$181))</f>
        <v>1</v>
      </c>
      <c r="G19" s="4" t="n">
        <f aca="false">COUNTIF(Desarrollos!$B$2:$B$181,B19)</f>
        <v>1</v>
      </c>
      <c r="H19" s="4" t="n">
        <f aca="false">COUNTIFS(Desarrollos!$B$2:$B$181,B19,Desarrollos!$I$2:$I$181,"&gt;=4")</f>
        <v>0</v>
      </c>
      <c r="I19" s="4" t="str">
        <f aca="false">IF(F19&gt;=2,"Sí","No")</f>
        <v>No</v>
      </c>
    </row>
    <row r="20" customFormat="false" ht="23.85" hidden="false" customHeight="false" outlineLevel="0" collapsed="false">
      <c r="A20" s="4" t="s">
        <v>63</v>
      </c>
      <c r="B20" s="5" t="s">
        <v>64</v>
      </c>
      <c r="C20" s="6" t="s">
        <v>65</v>
      </c>
      <c r="D20" s="6" t="s">
        <v>66</v>
      </c>
      <c r="E20" s="6" t="s">
        <v>67</v>
      </c>
      <c r="F20" s="4" t="n">
        <f aca="false">SUMPRODUCT((Desarrollos!$B$2:$B$181=B20)/COUNTIFS(Desarrollos!$B$2:$B$181,Desarrollos!$B$2:$B$181,Desarrollos!$F$2:$F$181,Desarrollos!$F$2:$F$181))</f>
        <v>2</v>
      </c>
      <c r="G20" s="4" t="n">
        <f aca="false">COUNTIF(Desarrollos!$B$2:$B$181,B20)</f>
        <v>2</v>
      </c>
      <c r="H20" s="4" t="n">
        <f aca="false">COUNTIFS(Desarrollos!$B$2:$B$181,B20,Desarrollos!$I$2:$I$181,"&gt;=4")</f>
        <v>1</v>
      </c>
      <c r="I20" s="4" t="str">
        <f aca="false">IF(F20&gt;=2,"Sí","No")</f>
        <v>Sí</v>
      </c>
    </row>
    <row r="21" customFormat="false" ht="15" hidden="false" customHeight="false" outlineLevel="0" collapsed="false">
      <c r="A21" s="4" t="s">
        <v>63</v>
      </c>
      <c r="B21" s="5" t="s">
        <v>68</v>
      </c>
      <c r="C21" s="6" t="s">
        <v>69</v>
      </c>
      <c r="D21" s="6" t="s">
        <v>66</v>
      </c>
      <c r="E21" s="6" t="s">
        <v>70</v>
      </c>
      <c r="F21" s="4" t="n">
        <f aca="false">SUMPRODUCT((Desarrollos!$B$2:$B$181=B21)/COUNTIFS(Desarrollos!$B$2:$B$181,Desarrollos!$B$2:$B$181,Desarrollos!$F$2:$F$181,Desarrollos!$F$2:$F$181))</f>
        <v>2</v>
      </c>
      <c r="G21" s="4" t="n">
        <f aca="false">COUNTIF(Desarrollos!$B$2:$B$181,B21)</f>
        <v>2</v>
      </c>
      <c r="H21" s="4" t="n">
        <f aca="false">COUNTIFS(Desarrollos!$B$2:$B$181,B21,Desarrollos!$I$2:$I$181,"&gt;=4")</f>
        <v>0</v>
      </c>
      <c r="I21" s="4" t="str">
        <f aca="false">IF(F21&gt;=2,"Sí","No")</f>
        <v>Sí</v>
      </c>
    </row>
    <row r="22" customFormat="false" ht="15" hidden="false" customHeight="false" outlineLevel="0" collapsed="false">
      <c r="A22" s="4" t="s">
        <v>63</v>
      </c>
      <c r="B22" s="5" t="s">
        <v>71</v>
      </c>
      <c r="C22" s="6" t="s">
        <v>72</v>
      </c>
      <c r="D22" s="6" t="s">
        <v>73</v>
      </c>
      <c r="E22" s="6" t="s">
        <v>74</v>
      </c>
      <c r="F22" s="4" t="n">
        <f aca="false">SUMPRODUCT((Desarrollos!$B$2:$B$181=B22)/COUNTIFS(Desarrollos!$B$2:$B$181,Desarrollos!$B$2:$B$181,Desarrollos!$F$2:$F$181,Desarrollos!$F$2:$F$181))</f>
        <v>1</v>
      </c>
      <c r="G22" s="4" t="n">
        <f aca="false">COUNTIF(Desarrollos!$B$2:$B$181,B22)</f>
        <v>2</v>
      </c>
      <c r="H22" s="4" t="n">
        <f aca="false">COUNTIFS(Desarrollos!$B$2:$B$181,B22,Desarrollos!$I$2:$I$181,"&gt;=4")</f>
        <v>0</v>
      </c>
      <c r="I22" s="4" t="str">
        <f aca="false">IF(F22&gt;=2,"Sí","No")</f>
        <v>No</v>
      </c>
    </row>
    <row r="23" customFormat="false" ht="23.85" hidden="false" customHeight="false" outlineLevel="0" collapsed="false">
      <c r="A23" s="4" t="s">
        <v>75</v>
      </c>
      <c r="B23" s="5" t="s">
        <v>76</v>
      </c>
      <c r="C23" s="6" t="s">
        <v>77</v>
      </c>
      <c r="D23" s="6" t="s">
        <v>78</v>
      </c>
      <c r="E23" s="6" t="s">
        <v>79</v>
      </c>
      <c r="F23" s="4" t="n">
        <f aca="false">SUMPRODUCT((Desarrollos!$B$2:$B$181=B23)/COUNTIFS(Desarrollos!$B$2:$B$181,Desarrollos!$B$2:$B$181,Desarrollos!$F$2:$F$181,Desarrollos!$F$2:$F$181))</f>
        <v>4</v>
      </c>
      <c r="G23" s="4" t="n">
        <f aca="false">COUNTIF(Desarrollos!$B$2:$B$181,B23)</f>
        <v>4</v>
      </c>
      <c r="H23" s="4" t="n">
        <f aca="false">COUNTIFS(Desarrollos!$B$2:$B$181,B23,Desarrollos!$I$2:$I$181,"&gt;=4")</f>
        <v>0</v>
      </c>
      <c r="I23" s="4" t="str">
        <f aca="false">IF(F23&gt;=2,"Sí","No")</f>
        <v>Sí</v>
      </c>
    </row>
    <row r="24" customFormat="false" ht="15" hidden="false" customHeight="false" outlineLevel="0" collapsed="false">
      <c r="A24" s="4" t="s">
        <v>75</v>
      </c>
      <c r="B24" s="5" t="s">
        <v>80</v>
      </c>
      <c r="C24" s="6" t="s">
        <v>81</v>
      </c>
      <c r="D24" s="6" t="s">
        <v>82</v>
      </c>
      <c r="E24" s="6" t="s">
        <v>83</v>
      </c>
      <c r="F24" s="4" t="n">
        <f aca="false">SUMPRODUCT((Desarrollos!$B$2:$B$181=B24)/COUNTIFS(Desarrollos!$B$2:$B$181,Desarrollos!$B$2:$B$181,Desarrollos!$F$2:$F$181,Desarrollos!$F$2:$F$181))</f>
        <v>4</v>
      </c>
      <c r="G24" s="4" t="n">
        <f aca="false">COUNTIF(Desarrollos!$B$2:$B$181,B24)</f>
        <v>4</v>
      </c>
      <c r="H24" s="4" t="n">
        <f aca="false">COUNTIFS(Desarrollos!$B$2:$B$181,B24,Desarrollos!$I$2:$I$181,"&gt;=4")</f>
        <v>1</v>
      </c>
      <c r="I24" s="4" t="str">
        <f aca="false">IF(F24&gt;=2,"Sí","No")</f>
        <v>Sí</v>
      </c>
    </row>
    <row r="25" customFormat="false" ht="23.85" hidden="false" customHeight="false" outlineLevel="0" collapsed="false">
      <c r="A25" s="4" t="s">
        <v>75</v>
      </c>
      <c r="B25" s="5" t="s">
        <v>84</v>
      </c>
      <c r="C25" s="6" t="s">
        <v>85</v>
      </c>
      <c r="D25" s="6" t="s">
        <v>86</v>
      </c>
      <c r="E25" s="6" t="s">
        <v>15</v>
      </c>
      <c r="F25" s="4" t="n">
        <f aca="false">SUMPRODUCT((Desarrollos!$B$2:$B$181=B25)/COUNTIFS(Desarrollos!$B$2:$B$181,Desarrollos!$B$2:$B$181,Desarrollos!$F$2:$F$181,Desarrollos!$F$2:$F$181))</f>
        <v>1</v>
      </c>
      <c r="G25" s="4" t="n">
        <f aca="false">COUNTIF(Desarrollos!$B$2:$B$181,B25)</f>
        <v>1</v>
      </c>
      <c r="H25" s="4" t="n">
        <f aca="false">COUNTIFS(Desarrollos!$B$2:$B$181,B25,Desarrollos!$I$2:$I$181,"&gt;=4")</f>
        <v>1</v>
      </c>
      <c r="I25" s="4" t="str">
        <f aca="false">IF(F25&gt;=2,"Sí","No")</f>
        <v>No</v>
      </c>
    </row>
    <row r="26" customFormat="false" ht="15" hidden="false" customHeight="false" outlineLevel="0" collapsed="false">
      <c r="A26" s="4" t="s">
        <v>75</v>
      </c>
      <c r="B26" s="5" t="s">
        <v>87</v>
      </c>
      <c r="C26" s="6" t="s">
        <v>88</v>
      </c>
      <c r="D26" s="6" t="s">
        <v>89</v>
      </c>
      <c r="E26" s="6" t="s">
        <v>15</v>
      </c>
      <c r="F26" s="4" t="n">
        <f aca="false">SUMPRODUCT((Desarrollos!$B$2:$B$181=B26)/COUNTIFS(Desarrollos!$B$2:$B$181,Desarrollos!$B$2:$B$181,Desarrollos!$F$2:$F$181,Desarrollos!$F$2:$F$181))</f>
        <v>2</v>
      </c>
      <c r="G26" s="4" t="n">
        <f aca="false">COUNTIF(Desarrollos!$B$2:$B$181,B26)</f>
        <v>2</v>
      </c>
      <c r="H26" s="4" t="n">
        <f aca="false">COUNTIFS(Desarrollos!$B$2:$B$181,B26,Desarrollos!$I$2:$I$181,"&gt;=4")</f>
        <v>0</v>
      </c>
      <c r="I26" s="4" t="str">
        <f aca="false">IF(F26&gt;=2,"Sí","No")</f>
        <v>Sí</v>
      </c>
    </row>
    <row r="27" customFormat="false" ht="15" hidden="false" customHeight="false" outlineLevel="0" collapsed="false">
      <c r="A27" s="4" t="s">
        <v>75</v>
      </c>
      <c r="B27" s="5" t="s">
        <v>90</v>
      </c>
      <c r="C27" s="6" t="s">
        <v>91</v>
      </c>
      <c r="D27" s="6" t="s">
        <v>92</v>
      </c>
      <c r="E27" s="6" t="s">
        <v>15</v>
      </c>
      <c r="F27" s="4" t="n">
        <f aca="false">SUMPRODUCT((Desarrollos!$B$2:$B$181=B27)/COUNTIFS(Desarrollos!$B$2:$B$181,Desarrollos!$B$2:$B$181,Desarrollos!$F$2:$F$181,Desarrollos!$F$2:$F$181))</f>
        <v>2</v>
      </c>
      <c r="G27" s="4" t="n">
        <f aca="false">COUNTIF(Desarrollos!$B$2:$B$181,B27)</f>
        <v>2</v>
      </c>
      <c r="H27" s="4" t="n">
        <f aca="false">COUNTIFS(Desarrollos!$B$2:$B$181,B27,Desarrollos!$I$2:$I$181,"&gt;=4")</f>
        <v>1</v>
      </c>
      <c r="I27" s="4" t="str">
        <f aca="false">IF(F27&gt;=2,"Sí","No")</f>
        <v>Sí</v>
      </c>
    </row>
    <row r="28" customFormat="false" ht="23.85" hidden="false" customHeight="false" outlineLevel="0" collapsed="false">
      <c r="A28" s="4" t="s">
        <v>75</v>
      </c>
      <c r="B28" s="5" t="s">
        <v>93</v>
      </c>
      <c r="C28" s="6" t="s">
        <v>94</v>
      </c>
      <c r="D28" s="6" t="s">
        <v>95</v>
      </c>
      <c r="E28" s="6" t="s">
        <v>96</v>
      </c>
      <c r="F28" s="4" t="n">
        <f aca="false">SUMPRODUCT((Desarrollos!$B$2:$B$181=B28)/COUNTIFS(Desarrollos!$B$2:$B$181,Desarrollos!$B$2:$B$181,Desarrollos!$F$2:$F$181,Desarrollos!$F$2:$F$181))</f>
        <v>1</v>
      </c>
      <c r="G28" s="4" t="n">
        <f aca="false">COUNTIF(Desarrollos!$B$2:$B$181,B28)</f>
        <v>2</v>
      </c>
      <c r="H28" s="4" t="n">
        <f aca="false">COUNTIFS(Desarrollos!$B$2:$B$181,B28,Desarrollos!$I$2:$I$181,"&gt;=4")</f>
        <v>0</v>
      </c>
      <c r="I28" s="4" t="str">
        <f aca="false">IF(F28&gt;=2,"Sí","No")</f>
        <v>No</v>
      </c>
    </row>
    <row r="29" customFormat="false" ht="23.85" hidden="false" customHeight="false" outlineLevel="0" collapsed="false">
      <c r="A29" s="4" t="s">
        <v>75</v>
      </c>
      <c r="B29" s="5" t="s">
        <v>97</v>
      </c>
      <c r="C29" s="6" t="s">
        <v>98</v>
      </c>
      <c r="D29" s="6" t="s">
        <v>99</v>
      </c>
      <c r="E29" s="6" t="s">
        <v>15</v>
      </c>
      <c r="F29" s="4" t="n">
        <f aca="false">SUMPRODUCT((Desarrollos!$B$2:$B$181=B29)/COUNTIFS(Desarrollos!$B$2:$B$181,Desarrollos!$B$2:$B$181,Desarrollos!$F$2:$F$181,Desarrollos!$F$2:$F$181))</f>
        <v>5</v>
      </c>
      <c r="G29" s="4" t="n">
        <f aca="false">COUNTIF(Desarrollos!$B$2:$B$181,B29)</f>
        <v>5</v>
      </c>
      <c r="H29" s="4" t="n">
        <f aca="false">COUNTIFS(Desarrollos!$B$2:$B$181,B29,Desarrollos!$I$2:$I$181,"&gt;=4")</f>
        <v>3</v>
      </c>
      <c r="I29" s="4" t="str">
        <f aca="false">IF(F29&gt;=2,"Sí","No")</f>
        <v>Sí</v>
      </c>
    </row>
    <row r="30" customFormat="false" ht="15" hidden="false" customHeight="false" outlineLevel="0" collapsed="false">
      <c r="A30" s="4" t="s">
        <v>75</v>
      </c>
      <c r="B30" s="5" t="s">
        <v>100</v>
      </c>
      <c r="C30" s="6" t="s">
        <v>101</v>
      </c>
      <c r="D30" s="6" t="s">
        <v>102</v>
      </c>
      <c r="E30" s="6" t="s">
        <v>103</v>
      </c>
      <c r="F30" s="4" t="n">
        <f aca="false">SUMPRODUCT((Desarrollos!$B$2:$B$181=B30)/COUNTIFS(Desarrollos!$B$2:$B$181,Desarrollos!$B$2:$B$181,Desarrollos!$F$2:$F$181,Desarrollos!$F$2:$F$181))</f>
        <v>3</v>
      </c>
      <c r="G30" s="4" t="n">
        <f aca="false">COUNTIF(Desarrollos!$B$2:$B$181,B30)</f>
        <v>4</v>
      </c>
      <c r="H30" s="4" t="n">
        <f aca="false">COUNTIFS(Desarrollos!$B$2:$B$181,B30,Desarrollos!$I$2:$I$181,"&gt;=4")</f>
        <v>1</v>
      </c>
      <c r="I30" s="4" t="str">
        <f aca="false">IF(F30&gt;=2,"Sí","No")</f>
        <v>Sí</v>
      </c>
    </row>
    <row r="31" customFormat="false" ht="15" hidden="false" customHeight="false" outlineLevel="0" collapsed="false">
      <c r="A31" s="4" t="s">
        <v>75</v>
      </c>
      <c r="B31" s="5" t="s">
        <v>104</v>
      </c>
      <c r="C31" s="6" t="s">
        <v>105</v>
      </c>
      <c r="D31" s="6" t="s">
        <v>106</v>
      </c>
      <c r="E31" s="6" t="s">
        <v>15</v>
      </c>
      <c r="F31" s="4" t="n">
        <f aca="false">SUMPRODUCT((Desarrollos!$B$2:$B$181=B31)/COUNTIFS(Desarrollos!$B$2:$B$181,Desarrollos!$B$2:$B$181,Desarrollos!$F$2:$F$181,Desarrollos!$F$2:$F$181))</f>
        <v>1</v>
      </c>
      <c r="G31" s="4" t="n">
        <f aca="false">COUNTIF(Desarrollos!$B$2:$B$181,B31)</f>
        <v>1</v>
      </c>
      <c r="H31" s="4" t="n">
        <f aca="false">COUNTIFS(Desarrollos!$B$2:$B$181,B31,Desarrollos!$I$2:$I$181,"&gt;=4")</f>
        <v>0</v>
      </c>
      <c r="I31" s="4" t="str">
        <f aca="false">IF(F31&gt;=2,"Sí","No")</f>
        <v>No</v>
      </c>
    </row>
    <row r="32" customFormat="false" ht="15" hidden="false" customHeight="false" outlineLevel="0" collapsed="false">
      <c r="A32" s="4" t="s">
        <v>75</v>
      </c>
      <c r="B32" s="5" t="s">
        <v>107</v>
      </c>
      <c r="C32" s="6" t="s">
        <v>108</v>
      </c>
      <c r="D32" s="6" t="s">
        <v>109</v>
      </c>
      <c r="E32" s="6" t="s">
        <v>110</v>
      </c>
      <c r="F32" s="4" t="n">
        <f aca="false">SUMPRODUCT((Desarrollos!$B$2:$B$181=B32)/COUNTIFS(Desarrollos!$B$2:$B$181,Desarrollos!$B$2:$B$181,Desarrollos!$F$2:$F$181,Desarrollos!$F$2:$F$181))</f>
        <v>1</v>
      </c>
      <c r="G32" s="4" t="n">
        <f aca="false">COUNTIF(Desarrollos!$B$2:$B$181,B32)</f>
        <v>2</v>
      </c>
      <c r="H32" s="4" t="n">
        <f aca="false">COUNTIFS(Desarrollos!$B$2:$B$181,B32,Desarrollos!$I$2:$I$181,"&gt;=4")</f>
        <v>1</v>
      </c>
      <c r="I32" s="4" t="str">
        <f aca="false">IF(F32&gt;=2,"Sí","No")</f>
        <v>No</v>
      </c>
    </row>
    <row r="33" customFormat="false" ht="15" hidden="false" customHeight="false" outlineLevel="0" collapsed="false">
      <c r="A33" s="4" t="s">
        <v>75</v>
      </c>
      <c r="B33" s="5" t="s">
        <v>111</v>
      </c>
      <c r="C33" s="6" t="s">
        <v>112</v>
      </c>
      <c r="D33" s="6" t="s">
        <v>113</v>
      </c>
      <c r="E33" s="6" t="s">
        <v>15</v>
      </c>
      <c r="F33" s="4" t="n">
        <f aca="false">SUMPRODUCT((Desarrollos!$B$2:$B$181=B33)/COUNTIFS(Desarrollos!$B$2:$B$181,Desarrollos!$B$2:$B$181,Desarrollos!$F$2:$F$181,Desarrollos!$F$2:$F$181))</f>
        <v>2</v>
      </c>
      <c r="G33" s="4" t="n">
        <f aca="false">COUNTIF(Desarrollos!$B$2:$B$181,B33)</f>
        <v>2</v>
      </c>
      <c r="H33" s="4" t="n">
        <f aca="false">COUNTIFS(Desarrollos!$B$2:$B$181,B33,Desarrollos!$I$2:$I$181,"&gt;=4")</f>
        <v>0</v>
      </c>
      <c r="I33" s="4" t="str">
        <f aca="false">IF(F33&gt;=2,"Sí","No")</f>
        <v>Sí</v>
      </c>
    </row>
    <row r="34" customFormat="false" ht="15" hidden="false" customHeight="false" outlineLevel="0" collapsed="false">
      <c r="A34" s="4" t="s">
        <v>75</v>
      </c>
      <c r="B34" s="5" t="s">
        <v>114</v>
      </c>
      <c r="C34" s="6" t="s">
        <v>115</v>
      </c>
      <c r="D34" s="6" t="s">
        <v>86</v>
      </c>
      <c r="E34" s="6" t="s">
        <v>15</v>
      </c>
      <c r="F34" s="4" t="n">
        <f aca="false">SUMPRODUCT((Desarrollos!$B$2:$B$181=B34)/COUNTIFS(Desarrollos!$B$2:$B$181,Desarrollos!$B$2:$B$181,Desarrollos!$F$2:$F$181,Desarrollos!$F$2:$F$181))</f>
        <v>1</v>
      </c>
      <c r="G34" s="4" t="n">
        <f aca="false">COUNTIF(Desarrollos!$B$2:$B$181,B34)</f>
        <v>1</v>
      </c>
      <c r="H34" s="4" t="n">
        <f aca="false">COUNTIFS(Desarrollos!$B$2:$B$181,B34,Desarrollos!$I$2:$I$181,"&gt;=4")</f>
        <v>0</v>
      </c>
      <c r="I34" s="4" t="str">
        <f aca="false">IF(F34&gt;=2,"Sí","No")</f>
        <v>No</v>
      </c>
    </row>
    <row r="35" customFormat="false" ht="15" hidden="false" customHeight="false" outlineLevel="0" collapsed="false">
      <c r="A35" s="4" t="s">
        <v>75</v>
      </c>
      <c r="B35" s="5" t="s">
        <v>116</v>
      </c>
      <c r="C35" s="6" t="s">
        <v>117</v>
      </c>
      <c r="D35" s="6" t="s">
        <v>118</v>
      </c>
      <c r="E35" s="6" t="s">
        <v>119</v>
      </c>
      <c r="F35" s="4" t="n">
        <f aca="false">SUMPRODUCT((Desarrollos!$B$2:$B$181=B35)/COUNTIFS(Desarrollos!$B$2:$B$181,Desarrollos!$B$2:$B$181,Desarrollos!$F$2:$F$181,Desarrollos!$F$2:$F$181))</f>
        <v>1</v>
      </c>
      <c r="G35" s="4" t="n">
        <f aca="false">COUNTIF(Desarrollos!$B$2:$B$181,B35)</f>
        <v>2</v>
      </c>
      <c r="H35" s="4" t="n">
        <f aca="false">COUNTIFS(Desarrollos!$B$2:$B$181,B35,Desarrollos!$I$2:$I$181,"&gt;=4")</f>
        <v>0</v>
      </c>
      <c r="I35" s="4" t="str">
        <f aca="false">IF(F35&gt;=2,"Sí","No")</f>
        <v>No</v>
      </c>
    </row>
    <row r="36" customFormat="false" ht="15" hidden="false" customHeight="false" outlineLevel="0" collapsed="false">
      <c r="A36" s="4" t="s">
        <v>75</v>
      </c>
      <c r="B36" s="5" t="s">
        <v>120</v>
      </c>
      <c r="C36" s="6" t="s">
        <v>121</v>
      </c>
      <c r="D36" s="6" t="s">
        <v>118</v>
      </c>
      <c r="E36" s="6" t="s">
        <v>15</v>
      </c>
      <c r="F36" s="4" t="n">
        <f aca="false">SUMPRODUCT((Desarrollos!$B$2:$B$181=B36)/COUNTIFS(Desarrollos!$B$2:$B$181,Desarrollos!$B$2:$B$181,Desarrollos!$F$2:$F$181,Desarrollos!$F$2:$F$181))</f>
        <v>1</v>
      </c>
      <c r="G36" s="4" t="n">
        <f aca="false">COUNTIF(Desarrollos!$B$2:$B$181,B36)</f>
        <v>1</v>
      </c>
      <c r="H36" s="4" t="n">
        <f aca="false">COUNTIFS(Desarrollos!$B$2:$B$181,B36,Desarrollos!$I$2:$I$181,"&gt;=4")</f>
        <v>0</v>
      </c>
      <c r="I36" s="4" t="str">
        <f aca="false">IF(F36&gt;=2,"Sí","No")</f>
        <v>No</v>
      </c>
    </row>
    <row r="37" customFormat="false" ht="15" hidden="false" customHeight="false" outlineLevel="0" collapsed="false">
      <c r="A37" s="4" t="s">
        <v>75</v>
      </c>
      <c r="B37" s="5" t="s">
        <v>122</v>
      </c>
      <c r="C37" s="6" t="s">
        <v>123</v>
      </c>
      <c r="D37" s="6" t="s">
        <v>118</v>
      </c>
      <c r="E37" s="6" t="s">
        <v>15</v>
      </c>
      <c r="F37" s="4" t="n">
        <f aca="false">SUMPRODUCT((Desarrollos!$B$2:$B$181=B37)/COUNTIFS(Desarrollos!$B$2:$B$181,Desarrollos!$B$2:$B$181,Desarrollos!$F$2:$F$181,Desarrollos!$F$2:$F$181))</f>
        <v>1</v>
      </c>
      <c r="G37" s="4" t="n">
        <f aca="false">COUNTIF(Desarrollos!$B$2:$B$181,B37)</f>
        <v>1</v>
      </c>
      <c r="H37" s="4" t="n">
        <f aca="false">COUNTIFS(Desarrollos!$B$2:$B$181,B37,Desarrollos!$I$2:$I$181,"&gt;=4")</f>
        <v>0</v>
      </c>
      <c r="I37" s="4" t="str">
        <f aca="false">IF(F37&gt;=2,"Sí","No")</f>
        <v>No</v>
      </c>
    </row>
    <row r="38" customFormat="false" ht="15" hidden="false" customHeight="false" outlineLevel="0" collapsed="false">
      <c r="A38" s="4" t="s">
        <v>75</v>
      </c>
      <c r="B38" s="5" t="s">
        <v>124</v>
      </c>
      <c r="C38" s="6" t="s">
        <v>125</v>
      </c>
      <c r="D38" s="6" t="s">
        <v>126</v>
      </c>
      <c r="E38" s="6" t="s">
        <v>15</v>
      </c>
      <c r="F38" s="4" t="n">
        <f aca="false">SUMPRODUCT((Desarrollos!$B$2:$B$181=B38)/COUNTIFS(Desarrollos!$B$2:$B$181,Desarrollos!$B$2:$B$181,Desarrollos!$F$2:$F$181,Desarrollos!$F$2:$F$181))</f>
        <v>1</v>
      </c>
      <c r="G38" s="4" t="n">
        <f aca="false">COUNTIF(Desarrollos!$B$2:$B$181,B38)</f>
        <v>1</v>
      </c>
      <c r="H38" s="4" t="n">
        <f aca="false">COUNTIFS(Desarrollos!$B$2:$B$181,B38,Desarrollos!$I$2:$I$181,"&gt;=4")</f>
        <v>0</v>
      </c>
      <c r="I38" s="4" t="str">
        <f aca="false">IF(F38&gt;=2,"Sí","No")</f>
        <v>No</v>
      </c>
    </row>
    <row r="39" customFormat="false" ht="15" hidden="false" customHeight="false" outlineLevel="0" collapsed="false">
      <c r="A39" s="4" t="s">
        <v>75</v>
      </c>
      <c r="B39" s="5" t="s">
        <v>127</v>
      </c>
      <c r="C39" s="6" t="s">
        <v>128</v>
      </c>
      <c r="D39" s="6" t="s">
        <v>129</v>
      </c>
      <c r="E39" s="6" t="s">
        <v>15</v>
      </c>
      <c r="F39" s="4" t="n">
        <f aca="false">SUMPRODUCT((Desarrollos!$B$2:$B$181=B39)/COUNTIFS(Desarrollos!$B$2:$B$181,Desarrollos!$B$2:$B$181,Desarrollos!$F$2:$F$181,Desarrollos!$F$2:$F$181))</f>
        <v>1</v>
      </c>
      <c r="G39" s="4" t="n">
        <f aca="false">COUNTIF(Desarrollos!$B$2:$B$181,B39)</f>
        <v>1</v>
      </c>
      <c r="H39" s="4" t="n">
        <f aca="false">COUNTIFS(Desarrollos!$B$2:$B$181,B39,Desarrollos!$I$2:$I$181,"&gt;=4")</f>
        <v>0</v>
      </c>
      <c r="I39" s="4" t="str">
        <f aca="false">IF(F39&gt;=2,"Sí","No")</f>
        <v>No</v>
      </c>
    </row>
    <row r="40" customFormat="false" ht="15" hidden="false" customHeight="false" outlineLevel="0" collapsed="false">
      <c r="A40" s="4" t="s">
        <v>130</v>
      </c>
      <c r="B40" s="5" t="s">
        <v>131</v>
      </c>
      <c r="C40" s="6" t="s">
        <v>132</v>
      </c>
      <c r="D40" s="6" t="s">
        <v>133</v>
      </c>
      <c r="E40" s="6" t="s">
        <v>134</v>
      </c>
      <c r="F40" s="4" t="n">
        <f aca="false">SUMPRODUCT((Desarrollos!$B$2:$B$181=B40)/COUNTIFS(Desarrollos!$B$2:$B$181,Desarrollos!$B$2:$B$181,Desarrollos!$F$2:$F$181,Desarrollos!$F$2:$F$181))</f>
        <v>2</v>
      </c>
      <c r="G40" s="4" t="n">
        <f aca="false">COUNTIF(Desarrollos!$B$2:$B$181,B40)</f>
        <v>3</v>
      </c>
      <c r="H40" s="4" t="n">
        <f aca="false">COUNTIFS(Desarrollos!$B$2:$B$181,B40,Desarrollos!$I$2:$I$181,"&gt;=4")</f>
        <v>0</v>
      </c>
      <c r="I40" s="4" t="str">
        <f aca="false">IF(F40&gt;=2,"Sí","No")</f>
        <v>Sí</v>
      </c>
    </row>
    <row r="41" customFormat="false" ht="35.05" hidden="false" customHeight="false" outlineLevel="0" collapsed="false">
      <c r="A41" s="4" t="s">
        <v>130</v>
      </c>
      <c r="B41" s="5" t="s">
        <v>135</v>
      </c>
      <c r="C41" s="6" t="s">
        <v>136</v>
      </c>
      <c r="D41" s="6" t="s">
        <v>25</v>
      </c>
      <c r="E41" s="6" t="s">
        <v>137</v>
      </c>
      <c r="F41" s="4" t="n">
        <f aca="false">SUMPRODUCT((Desarrollos!$B$2:$B$181=B41)/COUNTIFS(Desarrollos!$B$2:$B$181,Desarrollos!$B$2:$B$181,Desarrollos!$F$2:$F$181,Desarrollos!$F$2:$F$181))</f>
        <v>1</v>
      </c>
      <c r="G41" s="4" t="n">
        <f aca="false">COUNTIF(Desarrollos!$B$2:$B$181,B41)</f>
        <v>3</v>
      </c>
      <c r="H41" s="4" t="n">
        <f aca="false">COUNTIFS(Desarrollos!$B$2:$B$181,B41,Desarrollos!$I$2:$I$181,"&gt;=4")</f>
        <v>0</v>
      </c>
      <c r="I41" s="4" t="str">
        <f aca="false">IF(F41&gt;=2,"Sí","No")</f>
        <v>No</v>
      </c>
    </row>
    <row r="42" customFormat="false" ht="23.85" hidden="false" customHeight="false" outlineLevel="0" collapsed="false">
      <c r="A42" s="4" t="s">
        <v>130</v>
      </c>
      <c r="B42" s="5" t="s">
        <v>138</v>
      </c>
      <c r="C42" s="6" t="s">
        <v>139</v>
      </c>
      <c r="D42" s="6" t="s">
        <v>140</v>
      </c>
      <c r="E42" s="6" t="s">
        <v>15</v>
      </c>
      <c r="F42" s="4" t="n">
        <f aca="false">SUMPRODUCT((Desarrollos!$B$2:$B$181=B42)/COUNTIFS(Desarrollos!$B$2:$B$181,Desarrollos!$B$2:$B$181,Desarrollos!$F$2:$F$181,Desarrollos!$F$2:$F$181))</f>
        <v>2</v>
      </c>
      <c r="G42" s="4" t="n">
        <f aca="false">COUNTIF(Desarrollos!$B$2:$B$181,B42)</f>
        <v>2</v>
      </c>
      <c r="H42" s="4" t="n">
        <f aca="false">COUNTIFS(Desarrollos!$B$2:$B$181,B42,Desarrollos!$I$2:$I$181,"&gt;=4")</f>
        <v>1</v>
      </c>
      <c r="I42" s="4" t="str">
        <f aca="false">IF(F42&gt;=2,"Sí","No")</f>
        <v>Sí</v>
      </c>
    </row>
    <row r="43" customFormat="false" ht="15" hidden="false" customHeight="false" outlineLevel="0" collapsed="false">
      <c r="A43" s="4" t="s">
        <v>130</v>
      </c>
      <c r="B43" s="5" t="s">
        <v>141</v>
      </c>
      <c r="C43" s="6" t="s">
        <v>142</v>
      </c>
      <c r="D43" s="6" t="s">
        <v>143</v>
      </c>
      <c r="E43" s="6" t="s">
        <v>15</v>
      </c>
      <c r="F43" s="4" t="n">
        <f aca="false">SUMPRODUCT((Desarrollos!$B$2:$B$181=B43)/COUNTIFS(Desarrollos!$B$2:$B$181,Desarrollos!$B$2:$B$181,Desarrollos!$F$2:$F$181,Desarrollos!$F$2:$F$181))</f>
        <v>2</v>
      </c>
      <c r="G43" s="4" t="n">
        <f aca="false">COUNTIF(Desarrollos!$B$2:$B$181,B43)</f>
        <v>2</v>
      </c>
      <c r="H43" s="4" t="n">
        <f aca="false">COUNTIFS(Desarrollos!$B$2:$B$181,B43,Desarrollos!$I$2:$I$181,"&gt;=4")</f>
        <v>0</v>
      </c>
      <c r="I43" s="4" t="str">
        <f aca="false">IF(F43&gt;=2,"Sí","No")</f>
        <v>Sí</v>
      </c>
    </row>
    <row r="44" customFormat="false" ht="15" hidden="false" customHeight="false" outlineLevel="0" collapsed="false">
      <c r="A44" s="4" t="s">
        <v>144</v>
      </c>
      <c r="B44" s="5" t="s">
        <v>145</v>
      </c>
      <c r="C44" s="6" t="s">
        <v>146</v>
      </c>
      <c r="D44" s="6" t="s">
        <v>147</v>
      </c>
      <c r="E44" s="6" t="s">
        <v>15</v>
      </c>
      <c r="F44" s="4" t="n">
        <f aca="false">SUMPRODUCT((Desarrollos!$B$2:$B$181=B44)/COUNTIFS(Desarrollos!$B$2:$B$181,Desarrollos!$B$2:$B$181,Desarrollos!$F$2:$F$181,Desarrollos!$F$2:$F$181))</f>
        <v>1</v>
      </c>
      <c r="G44" s="4" t="n">
        <f aca="false">COUNTIF(Desarrollos!$B$2:$B$181,B44)</f>
        <v>1</v>
      </c>
      <c r="H44" s="4" t="n">
        <f aca="false">COUNTIFS(Desarrollos!$B$2:$B$181,B44,Desarrollos!$I$2:$I$181,"&gt;=4")</f>
        <v>0</v>
      </c>
      <c r="I44" s="4" t="str">
        <f aca="false">IF(F44&gt;=2,"Sí","No")</f>
        <v>No</v>
      </c>
    </row>
    <row r="45" customFormat="false" ht="15" hidden="false" customHeight="false" outlineLevel="0" collapsed="false">
      <c r="A45" s="4" t="s">
        <v>144</v>
      </c>
      <c r="B45" s="5" t="s">
        <v>148</v>
      </c>
      <c r="C45" s="6" t="s">
        <v>149</v>
      </c>
      <c r="D45" s="6" t="s">
        <v>150</v>
      </c>
      <c r="E45" s="6" t="s">
        <v>15</v>
      </c>
      <c r="F45" s="4" t="n">
        <f aca="false">SUMPRODUCT((Desarrollos!$B$2:$B$181=B45)/COUNTIFS(Desarrollos!$B$2:$B$181,Desarrollos!$B$2:$B$181,Desarrollos!$F$2:$F$181,Desarrollos!$F$2:$F$181))</f>
        <v>1</v>
      </c>
      <c r="G45" s="4" t="n">
        <f aca="false">COUNTIF(Desarrollos!$B$2:$B$181,B45)</f>
        <v>1</v>
      </c>
      <c r="H45" s="4" t="n">
        <f aca="false">COUNTIFS(Desarrollos!$B$2:$B$181,B45,Desarrollos!$I$2:$I$181,"&gt;=4")</f>
        <v>1</v>
      </c>
      <c r="I45" s="4" t="str">
        <f aca="false">IF(F45&gt;=2,"Sí","No")</f>
        <v>No</v>
      </c>
    </row>
    <row r="46" customFormat="false" ht="23.85" hidden="false" customHeight="false" outlineLevel="0" collapsed="false">
      <c r="A46" s="4" t="s">
        <v>144</v>
      </c>
      <c r="B46" s="5" t="s">
        <v>151</v>
      </c>
      <c r="C46" s="6" t="s">
        <v>152</v>
      </c>
      <c r="D46" s="6" t="s">
        <v>153</v>
      </c>
      <c r="E46" s="6" t="s">
        <v>15</v>
      </c>
      <c r="F46" s="4" t="n">
        <f aca="false">SUMPRODUCT((Desarrollos!$B$2:$B$181=B46)/COUNTIFS(Desarrollos!$B$2:$B$181,Desarrollos!$B$2:$B$181,Desarrollos!$F$2:$F$181,Desarrollos!$F$2:$F$181))</f>
        <v>2</v>
      </c>
      <c r="G46" s="4" t="n">
        <f aca="false">COUNTIF(Desarrollos!$B$2:$B$181,B46)</f>
        <v>2</v>
      </c>
      <c r="H46" s="4" t="n">
        <f aca="false">COUNTIFS(Desarrollos!$B$2:$B$181,B46,Desarrollos!$I$2:$I$181,"&gt;=4")</f>
        <v>1</v>
      </c>
      <c r="I46" s="4" t="str">
        <f aca="false">IF(F46&gt;=2,"Sí","No")</f>
        <v>Sí</v>
      </c>
    </row>
    <row r="47" customFormat="false" ht="15" hidden="false" customHeight="false" outlineLevel="0" collapsed="false">
      <c r="A47" s="4" t="s">
        <v>144</v>
      </c>
      <c r="B47" s="5" t="s">
        <v>154</v>
      </c>
      <c r="C47" s="6" t="s">
        <v>155</v>
      </c>
      <c r="D47" s="6" t="s">
        <v>156</v>
      </c>
      <c r="E47" s="6" t="s">
        <v>15</v>
      </c>
      <c r="F47" s="4" t="n">
        <f aca="false">SUMPRODUCT((Desarrollos!$B$2:$B$181=B47)/COUNTIFS(Desarrollos!$B$2:$B$181,Desarrollos!$B$2:$B$181,Desarrollos!$F$2:$F$181,Desarrollos!$F$2:$F$181))</f>
        <v>3</v>
      </c>
      <c r="G47" s="4" t="n">
        <f aca="false">COUNTIF(Desarrollos!$B$2:$B$181,B47)</f>
        <v>3</v>
      </c>
      <c r="H47" s="4" t="n">
        <f aca="false">COUNTIFS(Desarrollos!$B$2:$B$181,B47,Desarrollos!$I$2:$I$181,"&gt;=4")</f>
        <v>2</v>
      </c>
      <c r="I47" s="4" t="str">
        <f aca="false">IF(F47&gt;=2,"Sí","No")</f>
        <v>Sí</v>
      </c>
    </row>
    <row r="48" customFormat="false" ht="35.05" hidden="false" customHeight="false" outlineLevel="0" collapsed="false">
      <c r="A48" s="4" t="s">
        <v>144</v>
      </c>
      <c r="B48" s="5" t="s">
        <v>157</v>
      </c>
      <c r="C48" s="6" t="s">
        <v>158</v>
      </c>
      <c r="D48" s="6" t="s">
        <v>159</v>
      </c>
      <c r="E48" s="6" t="s">
        <v>160</v>
      </c>
      <c r="F48" s="4" t="n">
        <f aca="false">SUMPRODUCT((Desarrollos!$B$2:$B$181=B48)/COUNTIFS(Desarrollos!$B$2:$B$181,Desarrollos!$B$2:$B$181,Desarrollos!$F$2:$F$181,Desarrollos!$F$2:$F$181))</f>
        <v>2</v>
      </c>
      <c r="G48" s="4" t="n">
        <f aca="false">COUNTIF(Desarrollos!$B$2:$B$181,B48)</f>
        <v>3</v>
      </c>
      <c r="H48" s="4" t="n">
        <f aca="false">COUNTIFS(Desarrollos!$B$2:$B$181,B48,Desarrollos!$I$2:$I$181,"&gt;=4")</f>
        <v>0</v>
      </c>
      <c r="I48" s="4" t="str">
        <f aca="false">IF(F48&gt;=2,"Sí","No")</f>
        <v>Sí</v>
      </c>
    </row>
    <row r="49" customFormat="false" ht="15" hidden="false" customHeight="false" outlineLevel="0" collapsed="false">
      <c r="A49" s="4" t="s">
        <v>144</v>
      </c>
      <c r="B49" s="5" t="s">
        <v>161</v>
      </c>
      <c r="C49" s="6" t="s">
        <v>162</v>
      </c>
      <c r="D49" s="6" t="s">
        <v>159</v>
      </c>
      <c r="E49" s="6" t="s">
        <v>15</v>
      </c>
      <c r="F49" s="4" t="n">
        <f aca="false">SUMPRODUCT((Desarrollos!$B$2:$B$181=B49)/COUNTIFS(Desarrollos!$B$2:$B$181,Desarrollos!$B$2:$B$181,Desarrollos!$F$2:$F$181,Desarrollos!$F$2:$F$181))</f>
        <v>1</v>
      </c>
      <c r="G49" s="4" t="n">
        <f aca="false">COUNTIF(Desarrollos!$B$2:$B$181,B49)</f>
        <v>1</v>
      </c>
      <c r="H49" s="4" t="n">
        <f aca="false">COUNTIFS(Desarrollos!$B$2:$B$181,B49,Desarrollos!$I$2:$I$181,"&gt;=4")</f>
        <v>1</v>
      </c>
      <c r="I49" s="4" t="str">
        <f aca="false">IF(F49&gt;=2,"Sí","No")</f>
        <v>No</v>
      </c>
    </row>
    <row r="50" customFormat="false" ht="15" hidden="false" customHeight="false" outlineLevel="0" collapsed="false">
      <c r="A50" s="4" t="s">
        <v>144</v>
      </c>
      <c r="B50" s="5" t="s">
        <v>163</v>
      </c>
      <c r="C50" s="6" t="s">
        <v>164</v>
      </c>
      <c r="D50" s="6" t="s">
        <v>159</v>
      </c>
      <c r="E50" s="6" t="s">
        <v>15</v>
      </c>
      <c r="F50" s="4" t="n">
        <f aca="false">SUMPRODUCT((Desarrollos!$B$2:$B$181=B50)/COUNTIFS(Desarrollos!$B$2:$B$181,Desarrollos!$B$2:$B$181,Desarrollos!$F$2:$F$181,Desarrollos!$F$2:$F$181))</f>
        <v>1</v>
      </c>
      <c r="G50" s="4" t="n">
        <f aca="false">COUNTIF(Desarrollos!$B$2:$B$181,B50)</f>
        <v>1</v>
      </c>
      <c r="H50" s="4" t="n">
        <f aca="false">COUNTIFS(Desarrollos!$B$2:$B$181,B50,Desarrollos!$I$2:$I$181,"&gt;=4")</f>
        <v>0</v>
      </c>
      <c r="I50" s="4" t="str">
        <f aca="false">IF(F50&gt;=2,"Sí","No")</f>
        <v>No</v>
      </c>
    </row>
    <row r="51" customFormat="false" ht="15" hidden="false" customHeight="false" outlineLevel="0" collapsed="false">
      <c r="A51" s="4" t="s">
        <v>165</v>
      </c>
      <c r="B51" s="5" t="s">
        <v>166</v>
      </c>
      <c r="C51" s="6" t="s">
        <v>167</v>
      </c>
      <c r="D51" s="6" t="s">
        <v>168</v>
      </c>
      <c r="E51" s="6" t="s">
        <v>15</v>
      </c>
      <c r="F51" s="4" t="n">
        <f aca="false">SUMPRODUCT((Desarrollos!$B$2:$B$181=B51)/COUNTIFS(Desarrollos!$B$2:$B$181,Desarrollos!$B$2:$B$181,Desarrollos!$F$2:$F$181,Desarrollos!$F$2:$F$181))</f>
        <v>2</v>
      </c>
      <c r="G51" s="4" t="n">
        <f aca="false">COUNTIF(Desarrollos!$B$2:$B$181,B51)</f>
        <v>2</v>
      </c>
      <c r="H51" s="4" t="n">
        <f aca="false">COUNTIFS(Desarrollos!$B$2:$B$181,B51,Desarrollos!$I$2:$I$181,"&gt;=4")</f>
        <v>1</v>
      </c>
      <c r="I51" s="4" t="str">
        <f aca="false">IF(F51&gt;=2,"Sí","No")</f>
        <v>Sí</v>
      </c>
    </row>
    <row r="52" customFormat="false" ht="15" hidden="false" customHeight="false" outlineLevel="0" collapsed="false">
      <c r="A52" s="4" t="s">
        <v>165</v>
      </c>
      <c r="B52" s="5" t="s">
        <v>169</v>
      </c>
      <c r="C52" s="6" t="s">
        <v>170</v>
      </c>
      <c r="D52" s="6" t="s">
        <v>171</v>
      </c>
      <c r="E52" s="6" t="s">
        <v>15</v>
      </c>
      <c r="F52" s="4" t="n">
        <f aca="false">SUMPRODUCT((Desarrollos!$B$2:$B$181=B52)/COUNTIFS(Desarrollos!$B$2:$B$181,Desarrollos!$B$2:$B$181,Desarrollos!$F$2:$F$181,Desarrollos!$F$2:$F$181))</f>
        <v>1</v>
      </c>
      <c r="G52" s="4" t="n">
        <f aca="false">COUNTIF(Desarrollos!$B$2:$B$181,B52)</f>
        <v>1</v>
      </c>
      <c r="H52" s="4" t="n">
        <f aca="false">COUNTIFS(Desarrollos!$B$2:$B$181,B52,Desarrollos!$I$2:$I$181,"&gt;=4")</f>
        <v>0</v>
      </c>
      <c r="I52" s="4" t="str">
        <f aca="false">IF(F52&gt;=2,"Sí","No")</f>
        <v>No</v>
      </c>
    </row>
    <row r="53" customFormat="false" ht="15" hidden="false" customHeight="false" outlineLevel="0" collapsed="false">
      <c r="A53" s="4" t="s">
        <v>165</v>
      </c>
      <c r="B53" s="5" t="s">
        <v>172</v>
      </c>
      <c r="C53" s="6" t="s">
        <v>173</v>
      </c>
      <c r="D53" s="6" t="s">
        <v>171</v>
      </c>
      <c r="E53" s="6" t="s">
        <v>15</v>
      </c>
      <c r="F53" s="4" t="n">
        <f aca="false">SUMPRODUCT((Desarrollos!$B$2:$B$181=B53)/COUNTIFS(Desarrollos!$B$2:$B$181,Desarrollos!$B$2:$B$181,Desarrollos!$F$2:$F$181,Desarrollos!$F$2:$F$181))</f>
        <v>1</v>
      </c>
      <c r="G53" s="4" t="n">
        <f aca="false">COUNTIF(Desarrollos!$B$2:$B$181,B53)</f>
        <v>1</v>
      </c>
      <c r="H53" s="4" t="n">
        <f aca="false">COUNTIFS(Desarrollos!$B$2:$B$181,B53,Desarrollos!$I$2:$I$181,"&gt;=4")</f>
        <v>0</v>
      </c>
      <c r="I53" s="4" t="str">
        <f aca="false">IF(F53&gt;=2,"Sí","No")</f>
        <v>No</v>
      </c>
    </row>
    <row r="54" customFormat="false" ht="23.85" hidden="false" customHeight="false" outlineLevel="0" collapsed="false">
      <c r="A54" s="4" t="s">
        <v>165</v>
      </c>
      <c r="B54" s="5" t="s">
        <v>174</v>
      </c>
      <c r="C54" s="6" t="s">
        <v>175</v>
      </c>
      <c r="D54" s="6" t="s">
        <v>176</v>
      </c>
      <c r="E54" s="6" t="s">
        <v>15</v>
      </c>
      <c r="F54" s="4" t="n">
        <f aca="false">SUMPRODUCT((Desarrollos!$B$2:$B$181=B54)/COUNTIFS(Desarrollos!$B$2:$B$181,Desarrollos!$B$2:$B$181,Desarrollos!$F$2:$F$181,Desarrollos!$F$2:$F$181))</f>
        <v>1</v>
      </c>
      <c r="G54" s="4" t="n">
        <f aca="false">COUNTIF(Desarrollos!$B$2:$B$181,B54)</f>
        <v>1</v>
      </c>
      <c r="H54" s="4" t="n">
        <f aca="false">COUNTIFS(Desarrollos!$B$2:$B$181,B54,Desarrollos!$I$2:$I$181,"&gt;=4")</f>
        <v>0</v>
      </c>
      <c r="I54" s="4" t="str">
        <f aca="false">IF(F54&gt;=2,"Sí","No")</f>
        <v>No</v>
      </c>
    </row>
    <row r="55" customFormat="false" ht="35.05" hidden="false" customHeight="false" outlineLevel="0" collapsed="false">
      <c r="A55" s="4" t="s">
        <v>165</v>
      </c>
      <c r="B55" s="5" t="s">
        <v>177</v>
      </c>
      <c r="C55" s="6" t="s">
        <v>178</v>
      </c>
      <c r="D55" s="6" t="s">
        <v>176</v>
      </c>
      <c r="E55" s="6" t="s">
        <v>179</v>
      </c>
      <c r="F55" s="4" t="n">
        <f aca="false">SUMPRODUCT((Desarrollos!$B$2:$B$181=B55)/COUNTIFS(Desarrollos!$B$2:$B$181,Desarrollos!$B$2:$B$181,Desarrollos!$F$2:$F$181,Desarrollos!$F$2:$F$181))</f>
        <v>3</v>
      </c>
      <c r="G55" s="4" t="n">
        <f aca="false">COUNTIF(Desarrollos!$B$2:$B$181,B55)</f>
        <v>5</v>
      </c>
      <c r="H55" s="4" t="n">
        <f aca="false">COUNTIFS(Desarrollos!$B$2:$B$181,B55,Desarrollos!$I$2:$I$181,"&gt;=4")</f>
        <v>3</v>
      </c>
      <c r="I55" s="4" t="str">
        <f aca="false">IF(F55&gt;=2,"Sí","No")</f>
        <v>Sí</v>
      </c>
    </row>
    <row r="56" customFormat="false" ht="15" hidden="false" customHeight="false" outlineLevel="0" collapsed="false">
      <c r="A56" s="4" t="s">
        <v>165</v>
      </c>
      <c r="B56" s="5" t="s">
        <v>180</v>
      </c>
      <c r="C56" s="6" t="s">
        <v>181</v>
      </c>
      <c r="D56" s="6" t="s">
        <v>182</v>
      </c>
      <c r="E56" s="6" t="s">
        <v>15</v>
      </c>
      <c r="F56" s="4" t="n">
        <f aca="false">SUMPRODUCT((Desarrollos!$B$2:$B$181=B56)/COUNTIFS(Desarrollos!$B$2:$B$181,Desarrollos!$B$2:$B$181,Desarrollos!$F$2:$F$181,Desarrollos!$F$2:$F$181))</f>
        <v>1</v>
      </c>
      <c r="G56" s="4" t="n">
        <f aca="false">COUNTIF(Desarrollos!$B$2:$B$181,B56)</f>
        <v>1</v>
      </c>
      <c r="H56" s="4" t="n">
        <f aca="false">COUNTIFS(Desarrollos!$B$2:$B$181,B56,Desarrollos!$I$2:$I$181,"&gt;=4")</f>
        <v>0</v>
      </c>
      <c r="I56" s="4" t="str">
        <f aca="false">IF(F56&gt;=2,"Sí","No")</f>
        <v>No</v>
      </c>
    </row>
    <row r="57" customFormat="false" ht="23.85" hidden="false" customHeight="false" outlineLevel="0" collapsed="false">
      <c r="A57" s="4" t="s">
        <v>183</v>
      </c>
      <c r="B57" s="5" t="s">
        <v>184</v>
      </c>
      <c r="C57" s="6" t="s">
        <v>185</v>
      </c>
      <c r="D57" s="6" t="s">
        <v>186</v>
      </c>
      <c r="E57" s="6" t="s">
        <v>15</v>
      </c>
      <c r="F57" s="4" t="n">
        <f aca="false">SUMPRODUCT((Desarrollos!$B$2:$B$181=B57)/COUNTIFS(Desarrollos!$B$2:$B$181,Desarrollos!$B$2:$B$181,Desarrollos!$F$2:$F$181,Desarrollos!$F$2:$F$181))</f>
        <v>1</v>
      </c>
      <c r="G57" s="4" t="n">
        <f aca="false">COUNTIF(Desarrollos!$B$2:$B$181,B57)</f>
        <v>1</v>
      </c>
      <c r="H57" s="4" t="n">
        <f aca="false">COUNTIFS(Desarrollos!$B$2:$B$181,B57,Desarrollos!$I$2:$I$181,"&gt;=4")</f>
        <v>0</v>
      </c>
      <c r="I57" s="4" t="str">
        <f aca="false">IF(F57&gt;=2,"Sí","No")</f>
        <v>No</v>
      </c>
    </row>
    <row r="58" customFormat="false" ht="23.85" hidden="false" customHeight="false" outlineLevel="0" collapsed="false">
      <c r="A58" s="4" t="s">
        <v>183</v>
      </c>
      <c r="B58" s="5" t="s">
        <v>187</v>
      </c>
      <c r="C58" s="6" t="s">
        <v>188</v>
      </c>
      <c r="D58" s="6" t="s">
        <v>186</v>
      </c>
      <c r="E58" s="6" t="s">
        <v>15</v>
      </c>
      <c r="F58" s="4" t="n">
        <f aca="false">SUMPRODUCT((Desarrollos!$B$2:$B$181=B58)/COUNTIFS(Desarrollos!$B$2:$B$181,Desarrollos!$B$2:$B$181,Desarrollos!$F$2:$F$181,Desarrollos!$F$2:$F$181))</f>
        <v>1</v>
      </c>
      <c r="G58" s="4" t="n">
        <f aca="false">COUNTIF(Desarrollos!$B$2:$B$181,B58)</f>
        <v>1</v>
      </c>
      <c r="H58" s="4" t="n">
        <f aca="false">COUNTIFS(Desarrollos!$B$2:$B$181,B58,Desarrollos!$I$2:$I$181,"&gt;=4")</f>
        <v>0</v>
      </c>
      <c r="I58" s="4" t="str">
        <f aca="false">IF(F58&gt;=2,"Sí","No")</f>
        <v>No</v>
      </c>
    </row>
    <row r="59" customFormat="false" ht="15" hidden="false" customHeight="false" outlineLevel="0" collapsed="false">
      <c r="A59" s="4" t="s">
        <v>183</v>
      </c>
      <c r="B59" s="5" t="s">
        <v>189</v>
      </c>
      <c r="C59" s="6" t="s">
        <v>190</v>
      </c>
      <c r="D59" s="6" t="s">
        <v>129</v>
      </c>
      <c r="E59" s="6" t="s">
        <v>191</v>
      </c>
      <c r="F59" s="4" t="n">
        <f aca="false">SUMPRODUCT((Desarrollos!$B$2:$B$181=B59)/COUNTIFS(Desarrollos!$B$2:$B$181,Desarrollos!$B$2:$B$181,Desarrollos!$F$2:$F$181,Desarrollos!$F$2:$F$181))</f>
        <v>2</v>
      </c>
      <c r="G59" s="4" t="n">
        <f aca="false">COUNTIF(Desarrollos!$B$2:$B$181,B59)</f>
        <v>2</v>
      </c>
      <c r="H59" s="4" t="n">
        <f aca="false">COUNTIFS(Desarrollos!$B$2:$B$181,B59,Desarrollos!$I$2:$I$181,"&gt;=4")</f>
        <v>0</v>
      </c>
      <c r="I59" s="4" t="str">
        <f aca="false">IF(F59&gt;=2,"Sí","No")</f>
        <v>Sí</v>
      </c>
    </row>
    <row r="60" customFormat="false" ht="23.85" hidden="false" customHeight="false" outlineLevel="0" collapsed="false">
      <c r="A60" s="4" t="s">
        <v>183</v>
      </c>
      <c r="B60" s="5" t="s">
        <v>192</v>
      </c>
      <c r="C60" s="6" t="s">
        <v>193</v>
      </c>
      <c r="D60" s="6" t="s">
        <v>194</v>
      </c>
      <c r="E60" s="6" t="s">
        <v>195</v>
      </c>
      <c r="F60" s="4" t="n">
        <f aca="false">SUMPRODUCT((Desarrollos!$B$2:$B$181=B60)/COUNTIFS(Desarrollos!$B$2:$B$181,Desarrollos!$B$2:$B$181,Desarrollos!$F$2:$F$181,Desarrollos!$F$2:$F$181))</f>
        <v>1</v>
      </c>
      <c r="G60" s="4" t="n">
        <f aca="false">COUNTIF(Desarrollos!$B$2:$B$181,B60)</f>
        <v>2</v>
      </c>
      <c r="H60" s="4" t="n">
        <f aca="false">COUNTIFS(Desarrollos!$B$2:$B$181,B60,Desarrollos!$I$2:$I$181,"&gt;=4")</f>
        <v>2</v>
      </c>
      <c r="I60" s="4" t="str">
        <f aca="false">IF(F60&gt;=2,"Sí","No")</f>
        <v>No</v>
      </c>
    </row>
    <row r="61" customFormat="false" ht="15" hidden="false" customHeight="false" outlineLevel="0" collapsed="false">
      <c r="A61" s="4" t="s">
        <v>183</v>
      </c>
      <c r="B61" s="5" t="s">
        <v>196</v>
      </c>
      <c r="C61" s="6" t="s">
        <v>197</v>
      </c>
      <c r="D61" s="6" t="s">
        <v>186</v>
      </c>
      <c r="E61" s="6" t="s">
        <v>198</v>
      </c>
      <c r="F61" s="4" t="n">
        <f aca="false">SUMPRODUCT((Desarrollos!$B$2:$B$181=B61)/COUNTIFS(Desarrollos!$B$2:$B$181,Desarrollos!$B$2:$B$181,Desarrollos!$F$2:$F$181,Desarrollos!$F$2:$F$181))</f>
        <v>2</v>
      </c>
      <c r="G61" s="4" t="n">
        <f aca="false">COUNTIF(Desarrollos!$B$2:$B$181,B61)</f>
        <v>3</v>
      </c>
      <c r="H61" s="4" t="n">
        <f aca="false">COUNTIFS(Desarrollos!$B$2:$B$181,B61,Desarrollos!$I$2:$I$181,"&gt;=4")</f>
        <v>0</v>
      </c>
      <c r="I61" s="4" t="str">
        <f aca="false">IF(F61&gt;=2,"Sí","No")</f>
        <v>Sí</v>
      </c>
    </row>
    <row r="62" customFormat="false" ht="23.85" hidden="false" customHeight="false" outlineLevel="0" collapsed="false">
      <c r="A62" s="4" t="s">
        <v>183</v>
      </c>
      <c r="B62" s="5" t="s">
        <v>199</v>
      </c>
      <c r="C62" s="6" t="s">
        <v>200</v>
      </c>
      <c r="D62" s="6" t="s">
        <v>201</v>
      </c>
      <c r="E62" s="6" t="s">
        <v>202</v>
      </c>
      <c r="F62" s="4" t="n">
        <f aca="false">SUMPRODUCT((Desarrollos!$B$2:$B$181=B62)/COUNTIFS(Desarrollos!$B$2:$B$181,Desarrollos!$B$2:$B$181,Desarrollos!$F$2:$F$181,Desarrollos!$F$2:$F$181))</f>
        <v>2</v>
      </c>
      <c r="G62" s="4" t="n">
        <f aca="false">COUNTIF(Desarrollos!$B$2:$B$181,B62)</f>
        <v>3</v>
      </c>
      <c r="H62" s="4" t="n">
        <f aca="false">COUNTIFS(Desarrollos!$B$2:$B$181,B62,Desarrollos!$I$2:$I$181,"&gt;=4")</f>
        <v>1</v>
      </c>
      <c r="I62" s="4" t="str">
        <f aca="false">IF(F62&gt;=2,"Sí","No")</f>
        <v>Sí</v>
      </c>
    </row>
    <row r="63" customFormat="false" ht="23.85" hidden="false" customHeight="false" outlineLevel="0" collapsed="false">
      <c r="A63" s="4" t="s">
        <v>183</v>
      </c>
      <c r="B63" s="5" t="s">
        <v>203</v>
      </c>
      <c r="C63" s="6" t="s">
        <v>204</v>
      </c>
      <c r="D63" s="6" t="s">
        <v>205</v>
      </c>
      <c r="E63" s="6" t="s">
        <v>15</v>
      </c>
      <c r="F63" s="4" t="n">
        <f aca="false">SUMPRODUCT((Desarrollos!$B$2:$B$181=B63)/COUNTIFS(Desarrollos!$B$2:$B$181,Desarrollos!$B$2:$B$181,Desarrollos!$F$2:$F$181,Desarrollos!$F$2:$F$181))</f>
        <v>1</v>
      </c>
      <c r="G63" s="4" t="n">
        <f aca="false">COUNTIF(Desarrollos!$B$2:$B$181,B63)</f>
        <v>1</v>
      </c>
      <c r="H63" s="4" t="n">
        <f aca="false">COUNTIFS(Desarrollos!$B$2:$B$181,B63,Desarrollos!$I$2:$I$181,"&gt;=4")</f>
        <v>1</v>
      </c>
      <c r="I63" s="4" t="str">
        <f aca="false">IF(F63&gt;=2,"Sí","No")</f>
        <v>No</v>
      </c>
    </row>
    <row r="64" customFormat="false" ht="23.85" hidden="false" customHeight="false" outlineLevel="0" collapsed="false">
      <c r="A64" s="4" t="s">
        <v>183</v>
      </c>
      <c r="B64" s="5" t="s">
        <v>206</v>
      </c>
      <c r="C64" s="6" t="s">
        <v>207</v>
      </c>
      <c r="D64" s="6" t="s">
        <v>25</v>
      </c>
      <c r="E64" s="6" t="s">
        <v>208</v>
      </c>
      <c r="F64" s="4" t="n">
        <f aca="false">SUMPRODUCT((Desarrollos!$B$2:$B$181=B64)/COUNTIFS(Desarrollos!$B$2:$B$181,Desarrollos!$B$2:$B$181,Desarrollos!$F$2:$F$181,Desarrollos!$F$2:$F$181))</f>
        <v>1</v>
      </c>
      <c r="G64" s="4" t="n">
        <f aca="false">COUNTIF(Desarrollos!$B$2:$B$181,B64)</f>
        <v>1</v>
      </c>
      <c r="H64" s="4" t="n">
        <f aca="false">COUNTIFS(Desarrollos!$B$2:$B$181,B64,Desarrollos!$I$2:$I$181,"&gt;=4")</f>
        <v>1</v>
      </c>
      <c r="I64" s="4" t="str">
        <f aca="false">IF(F64&gt;=2,"Sí","No")</f>
        <v>No</v>
      </c>
    </row>
    <row r="65" customFormat="false" ht="23.85" hidden="false" customHeight="false" outlineLevel="0" collapsed="false">
      <c r="A65" s="4" t="s">
        <v>183</v>
      </c>
      <c r="B65" s="5" t="s">
        <v>209</v>
      </c>
      <c r="C65" s="6" t="s">
        <v>210</v>
      </c>
      <c r="D65" s="6" t="s">
        <v>205</v>
      </c>
      <c r="E65" s="6" t="s">
        <v>15</v>
      </c>
      <c r="F65" s="4" t="n">
        <f aca="false">SUMPRODUCT((Desarrollos!$B$2:$B$181=B65)/COUNTIFS(Desarrollos!$B$2:$B$181,Desarrollos!$B$2:$B$181,Desarrollos!$F$2:$F$181,Desarrollos!$F$2:$F$181))</f>
        <v>1</v>
      </c>
      <c r="G65" s="4" t="n">
        <f aca="false">COUNTIF(Desarrollos!$B$2:$B$181,B65)</f>
        <v>1</v>
      </c>
      <c r="H65" s="4" t="n">
        <f aca="false">COUNTIFS(Desarrollos!$B$2:$B$181,B65,Desarrollos!$I$2:$I$181,"&gt;=4")</f>
        <v>1</v>
      </c>
      <c r="I65" s="4" t="str">
        <f aca="false">IF(F65&gt;=2,"Sí","No")</f>
        <v>No</v>
      </c>
    </row>
    <row r="66" customFormat="false" ht="15" hidden="false" customHeight="false" outlineLevel="0" collapsed="false">
      <c r="A66" s="4" t="s">
        <v>211</v>
      </c>
      <c r="B66" s="5" t="s">
        <v>212</v>
      </c>
      <c r="C66" s="6" t="s">
        <v>213</v>
      </c>
      <c r="D66" s="6" t="s">
        <v>214</v>
      </c>
      <c r="E66" s="6" t="s">
        <v>215</v>
      </c>
      <c r="F66" s="4" t="n">
        <f aca="false">SUMPRODUCT((Desarrollos!$B$2:$B$181=B66)/COUNTIFS(Desarrollos!$B$2:$B$181,Desarrollos!$B$2:$B$181,Desarrollos!$F$2:$F$181,Desarrollos!$F$2:$F$181))</f>
        <v>1</v>
      </c>
      <c r="G66" s="4" t="n">
        <f aca="false">COUNTIF(Desarrollos!$B$2:$B$181,B66)</f>
        <v>2</v>
      </c>
      <c r="H66" s="4" t="n">
        <f aca="false">COUNTIFS(Desarrollos!$B$2:$B$181,B66,Desarrollos!$I$2:$I$181,"&gt;=4")</f>
        <v>2</v>
      </c>
      <c r="I66" s="4" t="str">
        <f aca="false">IF(F66&gt;=2,"Sí","No")</f>
        <v>No</v>
      </c>
    </row>
    <row r="67" customFormat="false" ht="23.85" hidden="false" customHeight="false" outlineLevel="0" collapsed="false">
      <c r="A67" s="4" t="s">
        <v>211</v>
      </c>
      <c r="B67" s="5" t="s">
        <v>216</v>
      </c>
      <c r="C67" s="6" t="s">
        <v>217</v>
      </c>
      <c r="D67" s="6" t="s">
        <v>218</v>
      </c>
      <c r="E67" s="6" t="s">
        <v>15</v>
      </c>
      <c r="F67" s="4" t="n">
        <f aca="false">SUMPRODUCT((Desarrollos!$B$2:$B$181=B67)/COUNTIFS(Desarrollos!$B$2:$B$181,Desarrollos!$B$2:$B$181,Desarrollos!$F$2:$F$181,Desarrollos!$F$2:$F$181))</f>
        <v>3</v>
      </c>
      <c r="G67" s="4" t="n">
        <f aca="false">COUNTIF(Desarrollos!$B$2:$B$181,B67)</f>
        <v>3</v>
      </c>
      <c r="H67" s="4" t="n">
        <f aca="false">COUNTIFS(Desarrollos!$B$2:$B$181,B67,Desarrollos!$I$2:$I$181,"&gt;=4")</f>
        <v>1</v>
      </c>
      <c r="I67" s="4" t="str">
        <f aca="false">IF(F67&gt;=2,"Sí","No")</f>
        <v>Sí</v>
      </c>
    </row>
    <row r="68" customFormat="false" ht="15" hidden="false" customHeight="false" outlineLevel="0" collapsed="false">
      <c r="A68" s="4" t="s">
        <v>211</v>
      </c>
      <c r="B68" s="5" t="s">
        <v>219</v>
      </c>
      <c r="C68" s="6" t="s">
        <v>220</v>
      </c>
      <c r="D68" s="6" t="s">
        <v>214</v>
      </c>
      <c r="E68" s="6" t="s">
        <v>15</v>
      </c>
      <c r="F68" s="4" t="n">
        <f aca="false">SUMPRODUCT((Desarrollos!$B$2:$B$181=B68)/COUNTIFS(Desarrollos!$B$2:$B$181,Desarrollos!$B$2:$B$181,Desarrollos!$F$2:$F$181,Desarrollos!$F$2:$F$181))</f>
        <v>1</v>
      </c>
      <c r="G68" s="4" t="n">
        <f aca="false">COUNTIF(Desarrollos!$B$2:$B$181,B68)</f>
        <v>1</v>
      </c>
      <c r="H68" s="4" t="n">
        <f aca="false">COUNTIFS(Desarrollos!$B$2:$B$181,B68,Desarrollos!$I$2:$I$181,"&gt;=4")</f>
        <v>1</v>
      </c>
      <c r="I68" s="4" t="str">
        <f aca="false">IF(F68&gt;=2,"Sí","No")</f>
        <v>No</v>
      </c>
    </row>
    <row r="69" customFormat="false" ht="23.85" hidden="false" customHeight="false" outlineLevel="0" collapsed="false">
      <c r="A69" s="4" t="s">
        <v>211</v>
      </c>
      <c r="B69" s="5" t="s">
        <v>221</v>
      </c>
      <c r="C69" s="6" t="s">
        <v>222</v>
      </c>
      <c r="D69" s="6" t="s">
        <v>223</v>
      </c>
      <c r="E69" s="6" t="s">
        <v>15</v>
      </c>
      <c r="F69" s="4" t="n">
        <f aca="false">SUMPRODUCT((Desarrollos!$B$2:$B$181=B69)/COUNTIFS(Desarrollos!$B$2:$B$181,Desarrollos!$B$2:$B$181,Desarrollos!$F$2:$F$181,Desarrollos!$F$2:$F$181))</f>
        <v>1</v>
      </c>
      <c r="G69" s="4" t="n">
        <f aca="false">COUNTIF(Desarrollos!$B$2:$B$181,B69)</f>
        <v>1</v>
      </c>
      <c r="H69" s="4" t="n">
        <f aca="false">COUNTIFS(Desarrollos!$B$2:$B$181,B69,Desarrollos!$I$2:$I$181,"&gt;=4")</f>
        <v>1</v>
      </c>
      <c r="I69" s="4" t="str">
        <f aca="false">IF(F69&gt;=2,"Sí","No")</f>
        <v>No</v>
      </c>
    </row>
    <row r="70" customFormat="false" ht="15" hidden="false" customHeight="false" outlineLevel="0" collapsed="false">
      <c r="A70" s="4" t="s">
        <v>211</v>
      </c>
      <c r="B70" s="5" t="s">
        <v>224</v>
      </c>
      <c r="C70" s="6" t="s">
        <v>225</v>
      </c>
      <c r="D70" s="6" t="s">
        <v>226</v>
      </c>
      <c r="E70" s="6" t="s">
        <v>227</v>
      </c>
      <c r="F70" s="4" t="n">
        <f aca="false">SUMPRODUCT((Desarrollos!$B$2:$B$181=B70)/COUNTIFS(Desarrollos!$B$2:$B$181,Desarrollos!$B$2:$B$181,Desarrollos!$F$2:$F$181,Desarrollos!$F$2:$F$181))</f>
        <v>1</v>
      </c>
      <c r="G70" s="4" t="n">
        <f aca="false">COUNTIF(Desarrollos!$B$2:$B$181,B70)</f>
        <v>2</v>
      </c>
      <c r="H70" s="4" t="n">
        <f aca="false">COUNTIFS(Desarrollos!$B$2:$B$181,B70,Desarrollos!$I$2:$I$181,"&gt;=4")</f>
        <v>0</v>
      </c>
      <c r="I70" s="4" t="str">
        <f aca="false">IF(F70&gt;=2,"Sí","No")</f>
        <v>No</v>
      </c>
    </row>
    <row r="71" customFormat="false" ht="23.85" hidden="false" customHeight="false" outlineLevel="0" collapsed="false">
      <c r="A71" s="4" t="s">
        <v>211</v>
      </c>
      <c r="B71" s="5" t="s">
        <v>228</v>
      </c>
      <c r="C71" s="6" t="s">
        <v>229</v>
      </c>
      <c r="D71" s="6" t="s">
        <v>230</v>
      </c>
      <c r="E71" s="6" t="s">
        <v>15</v>
      </c>
      <c r="F71" s="4" t="n">
        <f aca="false">SUMPRODUCT((Desarrollos!$B$2:$B$181=B71)/COUNTIFS(Desarrollos!$B$2:$B$181,Desarrollos!$B$2:$B$181,Desarrollos!$F$2:$F$181,Desarrollos!$F$2:$F$181))</f>
        <v>1</v>
      </c>
      <c r="G71" s="4" t="n">
        <f aca="false">COUNTIF(Desarrollos!$B$2:$B$181,B71)</f>
        <v>1</v>
      </c>
      <c r="H71" s="4" t="n">
        <f aca="false">COUNTIFS(Desarrollos!$B$2:$B$181,B71,Desarrollos!$I$2:$I$181,"&gt;=4")</f>
        <v>0</v>
      </c>
      <c r="I71" s="4" t="str">
        <f aca="false">IF(F71&gt;=2,"Sí","No")</f>
        <v>No</v>
      </c>
    </row>
    <row r="72" customFormat="false" ht="15" hidden="false" customHeight="false" outlineLevel="0" collapsed="false">
      <c r="A72" s="4" t="s">
        <v>211</v>
      </c>
      <c r="B72" s="5" t="s">
        <v>231</v>
      </c>
      <c r="C72" s="6" t="s">
        <v>232</v>
      </c>
      <c r="D72" s="6" t="s">
        <v>233</v>
      </c>
      <c r="E72" s="6" t="s">
        <v>15</v>
      </c>
      <c r="F72" s="4" t="n">
        <f aca="false">SUMPRODUCT((Desarrollos!$B$2:$B$181=B72)/COUNTIFS(Desarrollos!$B$2:$B$181,Desarrollos!$B$2:$B$181,Desarrollos!$F$2:$F$181,Desarrollos!$F$2:$F$181))</f>
        <v>1</v>
      </c>
      <c r="G72" s="4" t="n">
        <f aca="false">COUNTIF(Desarrollos!$B$2:$B$181,B72)</f>
        <v>1</v>
      </c>
      <c r="H72" s="4" t="n">
        <f aca="false">COUNTIFS(Desarrollos!$B$2:$B$181,B72,Desarrollos!$I$2:$I$181,"&gt;=4")</f>
        <v>1</v>
      </c>
      <c r="I72" s="4" t="str">
        <f aca="false">IF(F72&gt;=2,"Sí","No")</f>
        <v>No</v>
      </c>
    </row>
    <row r="73" customFormat="false" ht="15" hidden="false" customHeight="false" outlineLevel="0" collapsed="false">
      <c r="A73" s="4" t="s">
        <v>211</v>
      </c>
      <c r="B73" s="5" t="s">
        <v>234</v>
      </c>
      <c r="C73" s="6" t="s">
        <v>235</v>
      </c>
      <c r="D73" s="6" t="s">
        <v>226</v>
      </c>
      <c r="E73" s="6" t="s">
        <v>15</v>
      </c>
      <c r="F73" s="4" t="n">
        <f aca="false">SUMPRODUCT((Desarrollos!$B$2:$B$181=B73)/COUNTIFS(Desarrollos!$B$2:$B$181,Desarrollos!$B$2:$B$181,Desarrollos!$F$2:$F$181,Desarrollos!$F$2:$F$181))</f>
        <v>1</v>
      </c>
      <c r="G73" s="4" t="n">
        <f aca="false">COUNTIF(Desarrollos!$B$2:$B$181,B73)</f>
        <v>1</v>
      </c>
      <c r="H73" s="4" t="n">
        <f aca="false">COUNTIFS(Desarrollos!$B$2:$B$181,B73,Desarrollos!$I$2:$I$181,"&gt;=4")</f>
        <v>0</v>
      </c>
      <c r="I73" s="4" t="str">
        <f aca="false">IF(F73&gt;=2,"Sí","No")</f>
        <v>No</v>
      </c>
    </row>
    <row r="74" customFormat="false" ht="15" hidden="false" customHeight="false" outlineLevel="0" collapsed="false">
      <c r="A74" s="4" t="s">
        <v>211</v>
      </c>
      <c r="B74" s="5" t="s">
        <v>236</v>
      </c>
      <c r="C74" s="6" t="s">
        <v>237</v>
      </c>
      <c r="D74" s="6" t="s">
        <v>95</v>
      </c>
      <c r="E74" s="6" t="s">
        <v>15</v>
      </c>
      <c r="F74" s="4" t="n">
        <f aca="false">SUMPRODUCT((Desarrollos!$B$2:$B$181=B74)/COUNTIFS(Desarrollos!$B$2:$B$181,Desarrollos!$B$2:$B$181,Desarrollos!$F$2:$F$181,Desarrollos!$F$2:$F$181))</f>
        <v>1</v>
      </c>
      <c r="G74" s="4" t="n">
        <f aca="false">COUNTIF(Desarrollos!$B$2:$B$181,B74)</f>
        <v>1</v>
      </c>
      <c r="H74" s="4" t="n">
        <f aca="false">COUNTIFS(Desarrollos!$B$2:$B$181,B74,Desarrollos!$I$2:$I$181,"&gt;=4")</f>
        <v>0</v>
      </c>
      <c r="I74" s="4" t="str">
        <f aca="false">IF(F74&gt;=2,"Sí","No")</f>
        <v>No</v>
      </c>
    </row>
    <row r="75" customFormat="false" ht="15" hidden="false" customHeight="false" outlineLevel="0" collapsed="false">
      <c r="A75" s="4" t="s">
        <v>238</v>
      </c>
      <c r="B75" s="5" t="s">
        <v>239</v>
      </c>
      <c r="C75" s="6" t="s">
        <v>240</v>
      </c>
      <c r="D75" s="6" t="s">
        <v>241</v>
      </c>
      <c r="E75" s="6" t="s">
        <v>15</v>
      </c>
      <c r="F75" s="4" t="n">
        <f aca="false">SUMPRODUCT((Desarrollos!$B$2:$B$181=B75)/COUNTIFS(Desarrollos!$B$2:$B$181,Desarrollos!$B$2:$B$181,Desarrollos!$F$2:$F$181,Desarrollos!$F$2:$F$181))</f>
        <v>1</v>
      </c>
      <c r="G75" s="4" t="n">
        <f aca="false">COUNTIF(Desarrollos!$B$2:$B$181,B75)</f>
        <v>1</v>
      </c>
      <c r="H75" s="4" t="n">
        <f aca="false">COUNTIFS(Desarrollos!$B$2:$B$181,B75,Desarrollos!$I$2:$I$181,"&gt;=4")</f>
        <v>1</v>
      </c>
      <c r="I75" s="4" t="str">
        <f aca="false">IF(F75&gt;=2,"Sí","No")</f>
        <v>No</v>
      </c>
    </row>
    <row r="76" customFormat="false" ht="23.85" hidden="false" customHeight="false" outlineLevel="0" collapsed="false">
      <c r="A76" s="4" t="s">
        <v>130</v>
      </c>
      <c r="B76" s="5" t="s">
        <v>242</v>
      </c>
      <c r="C76" s="6" t="s">
        <v>243</v>
      </c>
      <c r="D76" s="6" t="s">
        <v>244</v>
      </c>
      <c r="E76" s="6" t="s">
        <v>15</v>
      </c>
      <c r="F76" s="4" t="n">
        <f aca="false">SUMPRODUCT((Desarrollos!$B$2:$B$181=B76)/COUNTIFS(Desarrollos!$B$2:$B$181,Desarrollos!$B$2:$B$181,Desarrollos!$F$2:$F$181,Desarrollos!$F$2:$F$181))</f>
        <v>1</v>
      </c>
      <c r="G76" s="4" t="n">
        <f aca="false">COUNTIF(Desarrollos!$B$2:$B$181,B76)</f>
        <v>1</v>
      </c>
      <c r="H76" s="4" t="n">
        <f aca="false">COUNTIFS(Desarrollos!$B$2:$B$181,B76,Desarrollos!$I$2:$I$181,"&gt;=4")</f>
        <v>0</v>
      </c>
      <c r="I76" s="4" t="str">
        <f aca="false">IF(F76&gt;=2,"Sí","No")</f>
        <v>No</v>
      </c>
    </row>
    <row r="77" customFormat="false" ht="23.85" hidden="false" customHeight="false" outlineLevel="0" collapsed="false">
      <c r="A77" s="4" t="s">
        <v>183</v>
      </c>
      <c r="B77" s="5" t="s">
        <v>245</v>
      </c>
      <c r="C77" s="6" t="s">
        <v>246</v>
      </c>
      <c r="D77" s="6" t="s">
        <v>247</v>
      </c>
      <c r="E77" s="6" t="s">
        <v>248</v>
      </c>
      <c r="F77" s="4" t="n">
        <f aca="false">SUMPRODUCT((Desarrollos!$B$2:$B$181=B77)/COUNTIFS(Desarrollos!$B$2:$B$181,Desarrollos!$B$2:$B$181,Desarrollos!$F$2:$F$181,Desarrollos!$F$2:$F$181))</f>
        <v>3</v>
      </c>
      <c r="G77" s="4" t="n">
        <f aca="false">COUNTIF(Desarrollos!$B$2:$B$181,B77)</f>
        <v>3</v>
      </c>
      <c r="H77" s="4" t="n">
        <f aca="false">COUNTIFS(Desarrollos!$B$2:$B$181,B77,Desarrollos!$I$2:$I$181,"&gt;=4")</f>
        <v>1</v>
      </c>
      <c r="I77" s="4" t="str">
        <f aca="false">IF(F77&gt;=2,"Sí","No")</f>
        <v>Sí</v>
      </c>
    </row>
    <row r="78" customFormat="false" ht="15" hidden="false" customHeight="false" outlineLevel="0" collapsed="false">
      <c r="A78" s="4" t="s">
        <v>249</v>
      </c>
      <c r="B78" s="5" t="s">
        <v>250</v>
      </c>
      <c r="C78" s="6" t="s">
        <v>251</v>
      </c>
      <c r="D78" s="6" t="s">
        <v>252</v>
      </c>
      <c r="E78" s="6" t="s">
        <v>15</v>
      </c>
      <c r="F78" s="4" t="n">
        <f aca="false">SUMPRODUCT((Desarrollos!$B$2:$B$181=B78)/COUNTIFS(Desarrollos!$B$2:$B$181,Desarrollos!$B$2:$B$181,Desarrollos!$F$2:$F$181,Desarrollos!$F$2:$F$181))</f>
        <v>1</v>
      </c>
      <c r="G78" s="4" t="n">
        <f aca="false">COUNTIF(Desarrollos!$B$2:$B$181,B78)</f>
        <v>1</v>
      </c>
      <c r="H78" s="4" t="n">
        <f aca="false">COUNTIFS(Desarrollos!$B$2:$B$181,B78,Desarrollos!$I$2:$I$181,"&gt;=4")</f>
        <v>0</v>
      </c>
      <c r="I78" s="4" t="str">
        <f aca="false">IF(F78&gt;=2,"Sí","No")</f>
        <v>No</v>
      </c>
    </row>
    <row r="79" customFormat="false" ht="23.85" hidden="false" customHeight="false" outlineLevel="0" collapsed="false">
      <c r="A79" s="4" t="s">
        <v>75</v>
      </c>
      <c r="B79" s="5" t="s">
        <v>253</v>
      </c>
      <c r="C79" s="6" t="s">
        <v>254</v>
      </c>
      <c r="D79" s="6" t="s">
        <v>147</v>
      </c>
      <c r="E79" s="6" t="s">
        <v>15</v>
      </c>
      <c r="F79" s="4" t="n">
        <f aca="false">SUMPRODUCT((Desarrollos!$B$2:$B$181=B79)/COUNTIFS(Desarrollos!$B$2:$B$181,Desarrollos!$B$2:$B$181,Desarrollos!$F$2:$F$181,Desarrollos!$F$2:$F$181))</f>
        <v>1</v>
      </c>
      <c r="G79" s="4" t="n">
        <f aca="false">COUNTIF(Desarrollos!$B$2:$B$181,B79)</f>
        <v>1</v>
      </c>
      <c r="H79" s="4" t="n">
        <f aca="false">COUNTIFS(Desarrollos!$B$2:$B$181,B79,Desarrollos!$I$2:$I$181,"&gt;=4")</f>
        <v>1</v>
      </c>
      <c r="I79" s="4" t="str">
        <f aca="false">IF(F79&gt;=2,"Sí","No")</f>
        <v>No</v>
      </c>
    </row>
    <row r="80" customFormat="false" ht="46.25" hidden="false" customHeight="false" outlineLevel="0" collapsed="false">
      <c r="A80" s="4" t="s">
        <v>75</v>
      </c>
      <c r="B80" s="5" t="s">
        <v>255</v>
      </c>
      <c r="C80" s="6" t="s">
        <v>256</v>
      </c>
      <c r="D80" s="6" t="s">
        <v>257</v>
      </c>
      <c r="E80" s="6" t="s">
        <v>258</v>
      </c>
      <c r="F80" s="4" t="n">
        <f aca="false">SUMPRODUCT((Desarrollos!$B$2:$B$181=B80)/COUNTIFS(Desarrollos!$B$2:$B$181,Desarrollos!$B$2:$B$181,Desarrollos!$F$2:$F$181,Desarrollos!$F$2:$F$181))</f>
        <v>6</v>
      </c>
      <c r="G80" s="4" t="n">
        <f aca="false">COUNTIF(Desarrollos!$B$2:$B$181,B80)</f>
        <v>9</v>
      </c>
      <c r="H80" s="4" t="n">
        <f aca="false">COUNTIFS(Desarrollos!$B$2:$B$181,B80,Desarrollos!$I$2:$I$181,"&gt;=4")</f>
        <v>1</v>
      </c>
      <c r="I80" s="4" t="str">
        <f aca="false">IF(F80&gt;=2,"Sí","No")</f>
        <v>Sí</v>
      </c>
    </row>
    <row r="81" customFormat="false" ht="23.85" hidden="false" customHeight="false" outlineLevel="0" collapsed="false">
      <c r="A81" s="4" t="s">
        <v>75</v>
      </c>
      <c r="B81" s="5" t="s">
        <v>259</v>
      </c>
      <c r="C81" s="6" t="s">
        <v>260</v>
      </c>
      <c r="D81" s="6" t="s">
        <v>261</v>
      </c>
      <c r="E81" s="6" t="s">
        <v>262</v>
      </c>
      <c r="F81" s="4" t="n">
        <f aca="false">SUMPRODUCT((Desarrollos!$B$2:$B$181=B81)/COUNTIFS(Desarrollos!$B$2:$B$181,Desarrollos!$B$2:$B$181,Desarrollos!$F$2:$F$181,Desarrollos!$F$2:$F$181))</f>
        <v>5</v>
      </c>
      <c r="G81" s="4" t="n">
        <f aca="false">COUNTIF(Desarrollos!$B$2:$B$181,B81)</f>
        <v>6</v>
      </c>
      <c r="H81" s="4" t="n">
        <f aca="false">COUNTIFS(Desarrollos!$B$2:$B$181,B81,Desarrollos!$I$2:$I$181,"&gt;=4")</f>
        <v>1</v>
      </c>
      <c r="I81" s="4" t="str">
        <f aca="false">IF(F81&gt;=2,"Sí","No")</f>
        <v>Sí</v>
      </c>
    </row>
    <row r="82" customFormat="false" ht="15" hidden="false" customHeight="false" outlineLevel="0" collapsed="false">
      <c r="A82" s="4" t="s">
        <v>75</v>
      </c>
      <c r="B82" s="5" t="s">
        <v>263</v>
      </c>
      <c r="C82" s="6" t="s">
        <v>264</v>
      </c>
      <c r="D82" s="6" t="s">
        <v>118</v>
      </c>
      <c r="E82" s="6" t="s">
        <v>15</v>
      </c>
      <c r="F82" s="4" t="n">
        <f aca="false">SUMPRODUCT((Desarrollos!$B$2:$B$181=B82)/COUNTIFS(Desarrollos!$B$2:$B$181,Desarrollos!$B$2:$B$181,Desarrollos!$F$2:$F$181,Desarrollos!$F$2:$F$181))</f>
        <v>1</v>
      </c>
      <c r="G82" s="4" t="n">
        <f aca="false">COUNTIF(Desarrollos!$B$2:$B$181,B82)</f>
        <v>1</v>
      </c>
      <c r="H82" s="4" t="n">
        <f aca="false">COUNTIFS(Desarrollos!$B$2:$B$181,B82,Desarrollos!$I$2:$I$181,"&gt;=4")</f>
        <v>0</v>
      </c>
      <c r="I82" s="4" t="str">
        <f aca="false">IF(F82&gt;=2,"Sí","No")</f>
        <v>No</v>
      </c>
    </row>
    <row r="83" customFormat="false" ht="15" hidden="false" customHeight="false" outlineLevel="0" collapsed="false">
      <c r="A83" s="4" t="s">
        <v>75</v>
      </c>
      <c r="B83" s="5" t="s">
        <v>265</v>
      </c>
      <c r="C83" s="6" t="s">
        <v>266</v>
      </c>
      <c r="D83" s="6" t="s">
        <v>267</v>
      </c>
      <c r="E83" s="6" t="s">
        <v>15</v>
      </c>
      <c r="F83" s="4" t="n">
        <f aca="false">SUMPRODUCT((Desarrollos!$B$2:$B$181=B83)/COUNTIFS(Desarrollos!$B$2:$B$181,Desarrollos!$B$2:$B$181,Desarrollos!$F$2:$F$181,Desarrollos!$F$2:$F$181))</f>
        <v>3</v>
      </c>
      <c r="G83" s="4" t="n">
        <f aca="false">COUNTIF(Desarrollos!$B$2:$B$181,B83)</f>
        <v>3</v>
      </c>
      <c r="H83" s="4" t="n">
        <f aca="false">COUNTIFS(Desarrollos!$B$2:$B$181,B83,Desarrollos!$I$2:$I$181,"&gt;=4")</f>
        <v>0</v>
      </c>
      <c r="I83" s="4" t="str">
        <f aca="false">IF(F83&gt;=2,"Sí","No")</f>
        <v>Sí</v>
      </c>
    </row>
    <row r="84" customFormat="false" ht="23.85" hidden="false" customHeight="false" outlineLevel="0" collapsed="false">
      <c r="A84" s="4" t="s">
        <v>75</v>
      </c>
      <c r="B84" s="5" t="s">
        <v>268</v>
      </c>
      <c r="C84" s="6" t="s">
        <v>269</v>
      </c>
      <c r="D84" s="6" t="s">
        <v>270</v>
      </c>
      <c r="E84" s="6" t="s">
        <v>271</v>
      </c>
      <c r="F84" s="4" t="n">
        <f aca="false">SUMPRODUCT((Desarrollos!$B$2:$B$181=B84)/COUNTIFS(Desarrollos!$B$2:$B$181,Desarrollos!$B$2:$B$181,Desarrollos!$F$2:$F$181,Desarrollos!$F$2:$F$181))</f>
        <v>2</v>
      </c>
      <c r="G84" s="4" t="n">
        <f aca="false">COUNTIF(Desarrollos!$B$2:$B$181,B84)</f>
        <v>2</v>
      </c>
      <c r="H84" s="4" t="n">
        <f aca="false">COUNTIFS(Desarrollos!$B$2:$B$181,B84,Desarrollos!$I$2:$I$181,"&gt;=4")</f>
        <v>1</v>
      </c>
      <c r="I84" s="4" t="str">
        <f aca="false">IF(F84&gt;=2,"Sí","No")</f>
        <v>Sí</v>
      </c>
    </row>
    <row r="85" customFormat="false" ht="23.85" hidden="false" customHeight="false" outlineLevel="0" collapsed="false">
      <c r="A85" s="4" t="s">
        <v>75</v>
      </c>
      <c r="B85" s="5" t="s">
        <v>272</v>
      </c>
      <c r="C85" s="6" t="s">
        <v>273</v>
      </c>
      <c r="D85" s="6" t="s">
        <v>126</v>
      </c>
      <c r="E85" s="6" t="s">
        <v>15</v>
      </c>
      <c r="F85" s="4" t="n">
        <f aca="false">SUMPRODUCT((Desarrollos!$B$2:$B$181=B85)/COUNTIFS(Desarrollos!$B$2:$B$181,Desarrollos!$B$2:$B$181,Desarrollos!$F$2:$F$181,Desarrollos!$F$2:$F$181))</f>
        <v>1</v>
      </c>
      <c r="G85" s="4" t="n">
        <f aca="false">COUNTIF(Desarrollos!$B$2:$B$181,B85)</f>
        <v>1</v>
      </c>
      <c r="H85" s="4" t="n">
        <f aca="false">COUNTIFS(Desarrollos!$B$2:$B$181,B85,Desarrollos!$I$2:$I$181,"&gt;=4")</f>
        <v>0</v>
      </c>
      <c r="I85" s="4" t="str">
        <f aca="false">IF(F85&gt;=2,"Sí","No")</f>
        <v>No</v>
      </c>
    </row>
    <row r="86" customFormat="false" ht="15" hidden="false" customHeight="false" outlineLevel="0" collapsed="false">
      <c r="A86" s="4" t="s">
        <v>75</v>
      </c>
      <c r="B86" s="5" t="s">
        <v>274</v>
      </c>
      <c r="C86" s="6" t="s">
        <v>275</v>
      </c>
      <c r="D86" s="6" t="s">
        <v>126</v>
      </c>
      <c r="E86" s="6" t="s">
        <v>15</v>
      </c>
      <c r="F86" s="4" t="n">
        <f aca="false">SUMPRODUCT((Desarrollos!$B$2:$B$181=B86)/COUNTIFS(Desarrollos!$B$2:$B$181,Desarrollos!$B$2:$B$181,Desarrollos!$F$2:$F$181,Desarrollos!$F$2:$F$181))</f>
        <v>1</v>
      </c>
      <c r="G86" s="4" t="n">
        <f aca="false">COUNTIF(Desarrollos!$B$2:$B$181,B86)</f>
        <v>1</v>
      </c>
      <c r="H86" s="4" t="n">
        <f aca="false">COUNTIFS(Desarrollos!$B$2:$B$181,B86,Desarrollos!$I$2:$I$181,"&gt;=4")</f>
        <v>0</v>
      </c>
      <c r="I86" s="4" t="str">
        <f aca="false">IF(F86&gt;=2,"Sí","No")</f>
        <v>No</v>
      </c>
    </row>
    <row r="87" customFormat="false" ht="15" hidden="false" customHeight="false" outlineLevel="0" collapsed="false">
      <c r="A87" s="4" t="s">
        <v>11</v>
      </c>
      <c r="B87" s="5" t="s">
        <v>276</v>
      </c>
      <c r="C87" s="6" t="s">
        <v>277</v>
      </c>
      <c r="D87" s="6" t="s">
        <v>278</v>
      </c>
      <c r="E87" s="6" t="s">
        <v>15</v>
      </c>
      <c r="F87" s="4" t="n">
        <f aca="false">SUMPRODUCT((Desarrollos!$B$2:$B$181=B87)/COUNTIFS(Desarrollos!$B$2:$B$181,Desarrollos!$B$2:$B$181,Desarrollos!$F$2:$F$181,Desarrollos!$F$2:$F$181))</f>
        <v>1</v>
      </c>
      <c r="G87" s="4" t="n">
        <f aca="false">COUNTIF(Desarrollos!$B$2:$B$181,B87)</f>
        <v>1</v>
      </c>
      <c r="H87" s="4" t="n">
        <f aca="false">COUNTIFS(Desarrollos!$B$2:$B$181,B87,Desarrollos!$I$2:$I$181,"&gt;=4")</f>
        <v>1</v>
      </c>
      <c r="I87" s="4" t="str">
        <f aca="false">IF(F87&gt;=2,"Sí","No")</f>
        <v>No</v>
      </c>
    </row>
    <row r="88" customFormat="false" ht="23.85" hidden="false" customHeight="false" outlineLevel="0" collapsed="false">
      <c r="A88" s="4" t="s">
        <v>11</v>
      </c>
      <c r="B88" s="5" t="s">
        <v>279</v>
      </c>
      <c r="C88" s="6" t="s">
        <v>280</v>
      </c>
      <c r="D88" s="6" t="s">
        <v>281</v>
      </c>
      <c r="E88" s="6" t="s">
        <v>282</v>
      </c>
      <c r="F88" s="4" t="n">
        <f aca="false">SUMPRODUCT((Desarrollos!$B$2:$B$181=B88)/COUNTIFS(Desarrollos!$B$2:$B$181,Desarrollos!$B$2:$B$181,Desarrollos!$F$2:$F$181,Desarrollos!$F$2:$F$181))</f>
        <v>2</v>
      </c>
      <c r="G88" s="4" t="n">
        <f aca="false">COUNTIF(Desarrollos!$B$2:$B$181,B88)</f>
        <v>4</v>
      </c>
      <c r="H88" s="4" t="n">
        <f aca="false">COUNTIFS(Desarrollos!$B$2:$B$181,B88,Desarrollos!$I$2:$I$181,"&gt;=4")</f>
        <v>1</v>
      </c>
      <c r="I88" s="4" t="str">
        <f aca="false">IF(F88&gt;=2,"Sí","No")</f>
        <v>Sí</v>
      </c>
    </row>
    <row r="89" customFormat="false" ht="15" hidden="false" customHeight="false" outlineLevel="0" collapsed="false">
      <c r="A89" s="4" t="s">
        <v>11</v>
      </c>
      <c r="B89" s="5" t="s">
        <v>283</v>
      </c>
      <c r="C89" s="6" t="s">
        <v>284</v>
      </c>
      <c r="D89" s="6" t="s">
        <v>285</v>
      </c>
      <c r="E89" s="6" t="s">
        <v>15</v>
      </c>
      <c r="F89" s="4" t="n">
        <f aca="false">SUMPRODUCT((Desarrollos!$B$2:$B$181=B89)/COUNTIFS(Desarrollos!$B$2:$B$181,Desarrollos!$B$2:$B$181,Desarrollos!$F$2:$F$181,Desarrollos!$F$2:$F$181))</f>
        <v>1</v>
      </c>
      <c r="G89" s="4" t="n">
        <f aca="false">COUNTIF(Desarrollos!$B$2:$B$181,B89)</f>
        <v>1</v>
      </c>
      <c r="H89" s="4" t="n">
        <f aca="false">COUNTIFS(Desarrollos!$B$2:$B$181,B89,Desarrollos!$I$2:$I$181,"&gt;=4")</f>
        <v>1</v>
      </c>
      <c r="I89" s="4" t="str">
        <f aca="false">IF(F89&gt;=2,"Sí","No")</f>
        <v>No</v>
      </c>
    </row>
    <row r="90" customFormat="false" ht="15" hidden="false" customHeight="false" outlineLevel="0" collapsed="false">
      <c r="A90" s="4" t="s">
        <v>11</v>
      </c>
      <c r="B90" s="5" t="s">
        <v>286</v>
      </c>
      <c r="C90" s="6" t="s">
        <v>287</v>
      </c>
      <c r="D90" s="6" t="s">
        <v>73</v>
      </c>
      <c r="E90" s="6" t="s">
        <v>288</v>
      </c>
      <c r="F90" s="4" t="n">
        <f aca="false">SUMPRODUCT((Desarrollos!$B$2:$B$181=B90)/COUNTIFS(Desarrollos!$B$2:$B$181,Desarrollos!$B$2:$B$181,Desarrollos!$F$2:$F$181,Desarrollos!$F$2:$F$181))</f>
        <v>1</v>
      </c>
      <c r="G90" s="4" t="n">
        <f aca="false">COUNTIF(Desarrollos!$B$2:$B$181,B90)</f>
        <v>2</v>
      </c>
      <c r="H90" s="4" t="n">
        <f aca="false">COUNTIFS(Desarrollos!$B$2:$B$181,B90,Desarrollos!$I$2:$I$181,"&gt;=4")</f>
        <v>1</v>
      </c>
      <c r="I90" s="4" t="str">
        <f aca="false">IF(F90&gt;=2,"Sí","No")</f>
        <v>No</v>
      </c>
    </row>
    <row r="91" customFormat="false" ht="23.85" hidden="false" customHeight="false" outlineLevel="0" collapsed="false">
      <c r="A91" s="4" t="s">
        <v>63</v>
      </c>
      <c r="B91" s="5" t="s">
        <v>289</v>
      </c>
      <c r="C91" s="6" t="s">
        <v>290</v>
      </c>
      <c r="D91" s="6" t="s">
        <v>291</v>
      </c>
      <c r="E91" s="6" t="s">
        <v>15</v>
      </c>
      <c r="F91" s="4" t="n">
        <f aca="false">SUMPRODUCT((Desarrollos!$B$2:$B$181=B91)/COUNTIFS(Desarrollos!$B$2:$B$181,Desarrollos!$B$2:$B$181,Desarrollos!$F$2:$F$181,Desarrollos!$F$2:$F$181))</f>
        <v>2</v>
      </c>
      <c r="G91" s="4" t="n">
        <f aca="false">COUNTIF(Desarrollos!$B$2:$B$181,B91)</f>
        <v>2</v>
      </c>
      <c r="H91" s="4" t="n">
        <f aca="false">COUNTIFS(Desarrollos!$B$2:$B$181,B91,Desarrollos!$I$2:$I$181,"&gt;=4")</f>
        <v>0</v>
      </c>
      <c r="I91" s="4" t="str">
        <f aca="false">IF(F91&gt;=2,"Sí","No")</f>
        <v>Sí</v>
      </c>
    </row>
    <row r="92" customFormat="false" ht="15" hidden="false" customHeight="false" outlineLevel="0" collapsed="false">
      <c r="A92" s="4" t="s">
        <v>130</v>
      </c>
      <c r="B92" s="5" t="s">
        <v>292</v>
      </c>
      <c r="C92" s="6" t="s">
        <v>293</v>
      </c>
      <c r="D92" s="6" t="s">
        <v>18</v>
      </c>
      <c r="E92" s="6" t="s">
        <v>15</v>
      </c>
      <c r="F92" s="4" t="n">
        <f aca="false">SUMPRODUCT((Desarrollos!$B$2:$B$181=B92)/COUNTIFS(Desarrollos!$B$2:$B$181,Desarrollos!$B$2:$B$181,Desarrollos!$F$2:$F$181,Desarrollos!$F$2:$F$181))</f>
        <v>1</v>
      </c>
      <c r="G92" s="4" t="n">
        <f aca="false">COUNTIF(Desarrollos!$B$2:$B$181,B92)</f>
        <v>1</v>
      </c>
      <c r="H92" s="4" t="n">
        <f aca="false">COUNTIFS(Desarrollos!$B$2:$B$181,B92,Desarrollos!$I$2:$I$181,"&gt;=4")</f>
        <v>1</v>
      </c>
      <c r="I92" s="4" t="str">
        <f aca="false">IF(F92&gt;=2,"Sí","No")</f>
        <v>No</v>
      </c>
    </row>
    <row r="93" customFormat="false" ht="15" hidden="false" customHeight="false" outlineLevel="0" collapsed="false">
      <c r="A93" s="4" t="s">
        <v>130</v>
      </c>
      <c r="B93" s="5" t="s">
        <v>294</v>
      </c>
      <c r="C93" s="6" t="s">
        <v>295</v>
      </c>
      <c r="D93" s="6" t="s">
        <v>18</v>
      </c>
      <c r="E93" s="6" t="s">
        <v>15</v>
      </c>
      <c r="F93" s="4" t="n">
        <f aca="false">SUMPRODUCT((Desarrollos!$B$2:$B$181=B93)/COUNTIFS(Desarrollos!$B$2:$B$181,Desarrollos!$B$2:$B$181,Desarrollos!$F$2:$F$181,Desarrollos!$F$2:$F$181))</f>
        <v>1</v>
      </c>
      <c r="G93" s="4" t="n">
        <f aca="false">COUNTIF(Desarrollos!$B$2:$B$181,B93)</f>
        <v>1</v>
      </c>
      <c r="H93" s="4" t="n">
        <f aca="false">COUNTIFS(Desarrollos!$B$2:$B$181,B93,Desarrollos!$I$2:$I$181,"&gt;=4")</f>
        <v>0</v>
      </c>
      <c r="I93" s="4" t="str">
        <f aca="false">IF(F93&gt;=2,"Sí","No")</f>
        <v>No</v>
      </c>
    </row>
    <row r="94" customFormat="false" ht="15" hidden="false" customHeight="false" outlineLevel="0" collapsed="false">
      <c r="A94" s="4" t="s">
        <v>183</v>
      </c>
      <c r="B94" s="5" t="s">
        <v>296</v>
      </c>
      <c r="C94" s="6" t="s">
        <v>297</v>
      </c>
      <c r="D94" s="6" t="s">
        <v>194</v>
      </c>
      <c r="E94" s="6" t="s">
        <v>15</v>
      </c>
      <c r="F94" s="4" t="n">
        <f aca="false">SUMPRODUCT((Desarrollos!$B$2:$B$181=B94)/COUNTIFS(Desarrollos!$B$2:$B$181,Desarrollos!$B$2:$B$181,Desarrollos!$F$2:$F$181,Desarrollos!$F$2:$F$181))</f>
        <v>1</v>
      </c>
      <c r="G94" s="4" t="n">
        <f aca="false">COUNTIF(Desarrollos!$B$2:$B$181,B94)</f>
        <v>1</v>
      </c>
      <c r="H94" s="4" t="n">
        <f aca="false">COUNTIFS(Desarrollos!$B$2:$B$181,B94,Desarrollos!$I$2:$I$181,"&gt;=4")</f>
        <v>0</v>
      </c>
      <c r="I94" s="4" t="str">
        <f aca="false">IF(F94&gt;=2,"Sí","No")</f>
        <v>No</v>
      </c>
    </row>
    <row r="95" customFormat="false" ht="15" hidden="false" customHeight="false" outlineLevel="0" collapsed="false">
      <c r="A95" s="4" t="s">
        <v>183</v>
      </c>
      <c r="B95" s="5" t="s">
        <v>298</v>
      </c>
      <c r="C95" s="6" t="s">
        <v>299</v>
      </c>
      <c r="D95" s="6" t="s">
        <v>194</v>
      </c>
      <c r="E95" s="6" t="s">
        <v>300</v>
      </c>
      <c r="F95" s="4" t="n">
        <f aca="false">SUMPRODUCT((Desarrollos!$B$2:$B$181=B95)/COUNTIFS(Desarrollos!$B$2:$B$181,Desarrollos!$B$2:$B$181,Desarrollos!$F$2:$F$181,Desarrollos!$F$2:$F$181))</f>
        <v>1</v>
      </c>
      <c r="G95" s="4" t="n">
        <f aca="false">COUNTIF(Desarrollos!$B$2:$B$181,B95)</f>
        <v>2</v>
      </c>
      <c r="H95" s="4" t="n">
        <f aca="false">COUNTIFS(Desarrollos!$B$2:$B$181,B95,Desarrollos!$I$2:$I$181,"&gt;=4")</f>
        <v>1</v>
      </c>
      <c r="I95" s="4" t="str">
        <f aca="false">IF(F95&gt;=2,"Sí","No")</f>
        <v>No</v>
      </c>
    </row>
    <row r="96" customFormat="false" ht="15" hidden="false" customHeight="false" outlineLevel="0" collapsed="false">
      <c r="A96" s="4" t="s">
        <v>183</v>
      </c>
      <c r="B96" s="5" t="s">
        <v>301</v>
      </c>
      <c r="C96" s="6" t="s">
        <v>302</v>
      </c>
      <c r="D96" s="6" t="s">
        <v>303</v>
      </c>
      <c r="E96" s="6" t="s">
        <v>15</v>
      </c>
      <c r="F96" s="4" t="n">
        <f aca="false">SUMPRODUCT((Desarrollos!$B$2:$B$181=B96)/COUNTIFS(Desarrollos!$B$2:$B$181,Desarrollos!$B$2:$B$181,Desarrollos!$F$2:$F$181,Desarrollos!$F$2:$F$181))</f>
        <v>2</v>
      </c>
      <c r="G96" s="4" t="n">
        <f aca="false">COUNTIF(Desarrollos!$B$2:$B$181,B96)</f>
        <v>2</v>
      </c>
      <c r="H96" s="4" t="n">
        <f aca="false">COUNTIFS(Desarrollos!$B$2:$B$181,B96,Desarrollos!$I$2:$I$181,"&gt;=4")</f>
        <v>0</v>
      </c>
      <c r="I96" s="4" t="str">
        <f aca="false">IF(F96&gt;=2,"Sí","No")</f>
        <v>Sí</v>
      </c>
    </row>
    <row r="97" customFormat="false" ht="23.85" hidden="false" customHeight="false" outlineLevel="0" collapsed="false">
      <c r="A97" s="4" t="s">
        <v>183</v>
      </c>
      <c r="B97" s="5" t="s">
        <v>304</v>
      </c>
      <c r="C97" s="6" t="s">
        <v>305</v>
      </c>
      <c r="D97" s="6" t="s">
        <v>306</v>
      </c>
      <c r="E97" s="6" t="s">
        <v>15</v>
      </c>
      <c r="F97" s="4" t="n">
        <f aca="false">SUMPRODUCT((Desarrollos!$B$2:$B$181=B97)/COUNTIFS(Desarrollos!$B$2:$B$181,Desarrollos!$B$2:$B$181,Desarrollos!$F$2:$F$181,Desarrollos!$F$2:$F$181))</f>
        <v>1</v>
      </c>
      <c r="G97" s="4" t="n">
        <f aca="false">COUNTIF(Desarrollos!$B$2:$B$181,B97)</f>
        <v>1</v>
      </c>
      <c r="H97" s="4" t="n">
        <f aca="false">COUNTIFS(Desarrollos!$B$2:$B$181,B97,Desarrollos!$I$2:$I$181,"&gt;=4")</f>
        <v>0</v>
      </c>
      <c r="I97" s="4" t="str">
        <f aca="false">IF(F97&gt;=2,"Sí","No")</f>
        <v>No</v>
      </c>
    </row>
    <row r="98" customFormat="false" ht="23.85" hidden="false" customHeight="false" outlineLevel="0" collapsed="false">
      <c r="A98" s="4" t="s">
        <v>165</v>
      </c>
      <c r="B98" s="5" t="s">
        <v>307</v>
      </c>
      <c r="C98" s="6" t="s">
        <v>308</v>
      </c>
      <c r="D98" s="6" t="s">
        <v>309</v>
      </c>
      <c r="E98" s="6" t="s">
        <v>15</v>
      </c>
      <c r="F98" s="4" t="n">
        <f aca="false">SUMPRODUCT((Desarrollos!$B$2:$B$181=B98)/COUNTIFS(Desarrollos!$B$2:$B$181,Desarrollos!$B$2:$B$181,Desarrollos!$F$2:$F$181,Desarrollos!$F$2:$F$181))</f>
        <v>1</v>
      </c>
      <c r="G98" s="4" t="n">
        <f aca="false">COUNTIF(Desarrollos!$B$2:$B$181,B98)</f>
        <v>1</v>
      </c>
      <c r="H98" s="4" t="n">
        <f aca="false">COUNTIFS(Desarrollos!$B$2:$B$181,B98,Desarrollos!$I$2:$I$181,"&gt;=4")</f>
        <v>0</v>
      </c>
      <c r="I98" s="4" t="str">
        <f aca="false">IF(F98&gt;=2,"Sí","No")</f>
        <v>No</v>
      </c>
    </row>
    <row r="99" customFormat="false" ht="23.85" hidden="false" customHeight="false" outlineLevel="0" collapsed="false">
      <c r="A99" s="4" t="s">
        <v>211</v>
      </c>
      <c r="B99" s="5" t="s">
        <v>310</v>
      </c>
      <c r="C99" s="6" t="s">
        <v>311</v>
      </c>
      <c r="D99" s="6" t="s">
        <v>312</v>
      </c>
      <c r="E99" s="6" t="s">
        <v>313</v>
      </c>
      <c r="F99" s="4" t="n">
        <f aca="false">SUMPRODUCT((Desarrollos!$B$2:$B$181=B99)/COUNTIFS(Desarrollos!$B$2:$B$181,Desarrollos!$B$2:$B$181,Desarrollos!$F$2:$F$181,Desarrollos!$F$2:$F$181))</f>
        <v>1</v>
      </c>
      <c r="G99" s="4" t="n">
        <f aca="false">COUNTIF(Desarrollos!$B$2:$B$181,B99)</f>
        <v>2</v>
      </c>
      <c r="H99" s="4" t="n">
        <f aca="false">COUNTIFS(Desarrollos!$B$2:$B$181,B99,Desarrollos!$I$2:$I$181,"&gt;=4")</f>
        <v>0</v>
      </c>
      <c r="I99" s="4" t="str">
        <f aca="false">IF(F99&gt;=2,"Sí","No")</f>
        <v>No</v>
      </c>
    </row>
    <row r="100" customFormat="false" ht="23.85" hidden="false" customHeight="false" outlineLevel="0" collapsed="false">
      <c r="A100" s="4" t="s">
        <v>211</v>
      </c>
      <c r="B100" s="5" t="s">
        <v>314</v>
      </c>
      <c r="C100" s="6" t="s">
        <v>315</v>
      </c>
      <c r="D100" s="6" t="s">
        <v>316</v>
      </c>
      <c r="E100" s="6" t="s">
        <v>15</v>
      </c>
      <c r="F100" s="4" t="n">
        <f aca="false">SUMPRODUCT((Desarrollos!$B$2:$B$181=B100)/COUNTIFS(Desarrollos!$B$2:$B$181,Desarrollos!$B$2:$B$181,Desarrollos!$F$2:$F$181,Desarrollos!$F$2:$F$181))</f>
        <v>2</v>
      </c>
      <c r="G100" s="4" t="n">
        <f aca="false">COUNTIF(Desarrollos!$B$2:$B$181,B100)</f>
        <v>2</v>
      </c>
      <c r="H100" s="4" t="n">
        <f aca="false">COUNTIFS(Desarrollos!$B$2:$B$181,B100,Desarrollos!$I$2:$I$181,"&gt;=4")</f>
        <v>0</v>
      </c>
      <c r="I100" s="4" t="str">
        <f aca="false">IF(F100&gt;=2,"Sí","No")</f>
        <v>Sí</v>
      </c>
    </row>
  </sheetData>
  <autoFilter ref="A4:I100"/>
  <mergeCells count="1">
    <mergeCell ref="A2:I2"/>
  </mergeCells>
  <conditionalFormatting sqref="A5:I100">
    <cfRule type="expression" priority="2" aboveAverage="0" equalAverage="0" bottom="0" percent="0" rank="0" text="" dxfId="4">
      <formula>$I5="Sí"</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G104"/>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34"/>
    <col collapsed="false" customWidth="true" hidden="false" outlineLevel="0" max="2" min="2" style="0" width="8"/>
    <col collapsed="false" customWidth="true" hidden="false" outlineLevel="0" max="3" min="3" style="0" width="32"/>
    <col collapsed="false" customWidth="true" hidden="false" outlineLevel="0" max="4" min="4" style="0" width="36"/>
    <col collapsed="false" customWidth="true" hidden="false" outlineLevel="0" max="5" min="5" style="0" width="52"/>
    <col collapsed="false" customWidth="true" hidden="false" outlineLevel="0" max="7" min="6" style="0" width="10"/>
  </cols>
  <sheetData>
    <row r="1" customFormat="false" ht="15" hidden="false" customHeight="false" outlineLevel="0" collapsed="false">
      <c r="A1" s="3" t="s">
        <v>3</v>
      </c>
      <c r="B1" s="3" t="s">
        <v>317</v>
      </c>
      <c r="C1" s="3" t="s">
        <v>318</v>
      </c>
      <c r="D1" s="3" t="s">
        <v>319</v>
      </c>
      <c r="E1" s="3" t="s">
        <v>320</v>
      </c>
      <c r="F1" s="3" t="s">
        <v>321</v>
      </c>
      <c r="G1" s="3" t="s">
        <v>322</v>
      </c>
    </row>
    <row r="2" customFormat="false" ht="23.85" hidden="false" customHeight="false" outlineLevel="0" collapsed="false">
      <c r="A2" s="7" t="s">
        <v>19</v>
      </c>
      <c r="B2" s="8" t="s">
        <v>323</v>
      </c>
      <c r="C2" s="8" t="s">
        <v>324</v>
      </c>
      <c r="D2" s="8" t="s">
        <v>325</v>
      </c>
      <c r="E2" s="8" t="s">
        <v>326</v>
      </c>
      <c r="F2" s="8" t="n">
        <v>1</v>
      </c>
      <c r="G2" s="8" t="s">
        <v>327</v>
      </c>
    </row>
    <row r="3" customFormat="false" ht="23.85" hidden="false" customHeight="false" outlineLevel="0" collapsed="false">
      <c r="A3" s="9"/>
      <c r="B3" s="10" t="s">
        <v>18</v>
      </c>
      <c r="C3" s="10" t="s">
        <v>328</v>
      </c>
      <c r="D3" s="10" t="s">
        <v>325</v>
      </c>
      <c r="E3" s="10" t="s">
        <v>329</v>
      </c>
      <c r="F3" s="10" t="n">
        <v>4</v>
      </c>
      <c r="G3" s="10" t="s">
        <v>330</v>
      </c>
    </row>
    <row r="4" customFormat="false" ht="23.85" hidden="false" customHeight="false" outlineLevel="0" collapsed="false">
      <c r="A4" s="9"/>
      <c r="B4" s="10" t="s">
        <v>18</v>
      </c>
      <c r="C4" s="10" t="s">
        <v>328</v>
      </c>
      <c r="D4" s="10" t="s">
        <v>331</v>
      </c>
      <c r="E4" s="10" t="s">
        <v>332</v>
      </c>
      <c r="F4" s="10" t="n">
        <v>4</v>
      </c>
      <c r="G4" s="10" t="s">
        <v>330</v>
      </c>
    </row>
    <row r="5" customFormat="false" ht="68.65" hidden="false" customHeight="false" outlineLevel="0" collapsed="false">
      <c r="A5" s="7" t="s">
        <v>23</v>
      </c>
      <c r="B5" s="8" t="s">
        <v>35</v>
      </c>
      <c r="C5" s="8" t="s">
        <v>333</v>
      </c>
      <c r="D5" s="8" t="s">
        <v>334</v>
      </c>
      <c r="E5" s="8" t="s">
        <v>335</v>
      </c>
      <c r="F5" s="8" t="n">
        <v>9</v>
      </c>
      <c r="G5" s="8" t="s">
        <v>330</v>
      </c>
    </row>
    <row r="6" customFormat="false" ht="15" hidden="false" customHeight="false" outlineLevel="0" collapsed="false">
      <c r="A6" s="9"/>
      <c r="B6" s="10" t="s">
        <v>176</v>
      </c>
      <c r="C6" s="10" t="s">
        <v>336</v>
      </c>
      <c r="D6" s="10" t="s">
        <v>334</v>
      </c>
      <c r="E6" s="10" t="s">
        <v>337</v>
      </c>
      <c r="F6" s="10" t="n">
        <v>3</v>
      </c>
      <c r="G6" s="10" t="s">
        <v>327</v>
      </c>
    </row>
    <row r="7" customFormat="false" ht="23.85" hidden="false" customHeight="false" outlineLevel="0" collapsed="false">
      <c r="A7" s="7" t="s">
        <v>44</v>
      </c>
      <c r="B7" s="8" t="s">
        <v>39</v>
      </c>
      <c r="C7" s="8" t="s">
        <v>338</v>
      </c>
      <c r="D7" s="8" t="s">
        <v>325</v>
      </c>
      <c r="E7" s="8" t="s">
        <v>339</v>
      </c>
      <c r="F7" s="8" t="n">
        <v>2</v>
      </c>
      <c r="G7" s="8" t="s">
        <v>327</v>
      </c>
    </row>
    <row r="8" customFormat="false" ht="23.85" hidden="false" customHeight="false" outlineLevel="0" collapsed="false">
      <c r="A8" s="9"/>
      <c r="B8" s="10" t="s">
        <v>233</v>
      </c>
      <c r="C8" s="10" t="s">
        <v>340</v>
      </c>
      <c r="D8" s="10" t="s">
        <v>341</v>
      </c>
      <c r="E8" s="10" t="s">
        <v>342</v>
      </c>
      <c r="F8" s="10" t="n">
        <v>1</v>
      </c>
      <c r="G8" s="10" t="s">
        <v>327</v>
      </c>
    </row>
    <row r="9" customFormat="false" ht="23.85" hidden="false" customHeight="false" outlineLevel="0" collapsed="false">
      <c r="A9" s="7" t="s">
        <v>47</v>
      </c>
      <c r="B9" s="8" t="s">
        <v>278</v>
      </c>
      <c r="C9" s="8" t="s">
        <v>343</v>
      </c>
      <c r="D9" s="8" t="s">
        <v>325</v>
      </c>
      <c r="E9" s="8" t="s">
        <v>344</v>
      </c>
      <c r="F9" s="8" t="n">
        <v>2</v>
      </c>
      <c r="G9" s="8" t="s">
        <v>327</v>
      </c>
    </row>
    <row r="10" customFormat="false" ht="46.25" hidden="false" customHeight="false" outlineLevel="0" collapsed="false">
      <c r="A10" s="9"/>
      <c r="B10" s="10" t="s">
        <v>345</v>
      </c>
      <c r="C10" s="10" t="s">
        <v>346</v>
      </c>
      <c r="D10" s="10" t="s">
        <v>325</v>
      </c>
      <c r="E10" s="10" t="s">
        <v>347</v>
      </c>
      <c r="F10" s="10" t="n">
        <v>9</v>
      </c>
      <c r="G10" s="10" t="s">
        <v>330</v>
      </c>
    </row>
    <row r="11" customFormat="false" ht="23.85" hidden="false" customHeight="false" outlineLevel="0" collapsed="false">
      <c r="A11" s="9"/>
      <c r="B11" s="10" t="s">
        <v>345</v>
      </c>
      <c r="C11" s="10" t="s">
        <v>346</v>
      </c>
      <c r="D11" s="10" t="s">
        <v>348</v>
      </c>
      <c r="E11" s="10" t="s">
        <v>349</v>
      </c>
      <c r="F11" s="10" t="n">
        <v>4</v>
      </c>
      <c r="G11" s="10" t="s">
        <v>330</v>
      </c>
    </row>
    <row r="12" customFormat="false" ht="23.85" hidden="false" customHeight="false" outlineLevel="0" collapsed="false">
      <c r="A12" s="7" t="s">
        <v>64</v>
      </c>
      <c r="B12" s="8" t="s">
        <v>66</v>
      </c>
      <c r="C12" s="8" t="s">
        <v>350</v>
      </c>
      <c r="D12" s="8" t="s">
        <v>325</v>
      </c>
      <c r="E12" s="8" t="s">
        <v>351</v>
      </c>
      <c r="F12" s="8" t="n">
        <v>5</v>
      </c>
      <c r="G12" s="8" t="s">
        <v>330</v>
      </c>
    </row>
    <row r="13" customFormat="false" ht="15" hidden="false" customHeight="false" outlineLevel="0" collapsed="false">
      <c r="A13" s="9"/>
      <c r="B13" s="10" t="s">
        <v>62</v>
      </c>
      <c r="C13" s="10" t="s">
        <v>352</v>
      </c>
      <c r="D13" s="10" t="s">
        <v>353</v>
      </c>
      <c r="E13" s="10" t="s">
        <v>354</v>
      </c>
      <c r="F13" s="10" t="n">
        <v>1</v>
      </c>
      <c r="G13" s="10" t="s">
        <v>327</v>
      </c>
    </row>
    <row r="14" customFormat="false" ht="23.85" hidden="false" customHeight="false" outlineLevel="0" collapsed="false">
      <c r="A14" s="7" t="s">
        <v>68</v>
      </c>
      <c r="B14" s="8" t="s">
        <v>66</v>
      </c>
      <c r="C14" s="8" t="s">
        <v>350</v>
      </c>
      <c r="D14" s="8" t="s">
        <v>325</v>
      </c>
      <c r="E14" s="8" t="s">
        <v>355</v>
      </c>
      <c r="F14" s="8" t="n">
        <v>1</v>
      </c>
      <c r="G14" s="8" t="s">
        <v>327</v>
      </c>
    </row>
    <row r="15" customFormat="false" ht="23.85" hidden="false" customHeight="false" outlineLevel="0" collapsed="false">
      <c r="A15" s="9"/>
      <c r="B15" s="10" t="s">
        <v>356</v>
      </c>
      <c r="C15" s="10" t="s">
        <v>357</v>
      </c>
      <c r="D15" s="10" t="s">
        <v>358</v>
      </c>
      <c r="E15" s="10" t="s">
        <v>359</v>
      </c>
      <c r="F15" s="10" t="n">
        <v>1</v>
      </c>
      <c r="G15" s="10" t="s">
        <v>327</v>
      </c>
    </row>
    <row r="16" customFormat="false" ht="23.85" hidden="false" customHeight="false" outlineLevel="0" collapsed="false">
      <c r="A16" s="7" t="s">
        <v>76</v>
      </c>
      <c r="B16" s="8" t="s">
        <v>129</v>
      </c>
      <c r="C16" s="8" t="s">
        <v>360</v>
      </c>
      <c r="D16" s="8" t="s">
        <v>325</v>
      </c>
      <c r="E16" s="8" t="s">
        <v>361</v>
      </c>
      <c r="F16" s="8" t="n">
        <v>1</v>
      </c>
      <c r="G16" s="8" t="s">
        <v>327</v>
      </c>
    </row>
    <row r="17" customFormat="false" ht="35.05" hidden="false" customHeight="false" outlineLevel="0" collapsed="false">
      <c r="A17" s="9"/>
      <c r="B17" s="10" t="s">
        <v>362</v>
      </c>
      <c r="C17" s="10" t="s">
        <v>363</v>
      </c>
      <c r="D17" s="10" t="s">
        <v>325</v>
      </c>
      <c r="E17" s="10" t="s">
        <v>364</v>
      </c>
      <c r="F17" s="10" t="n">
        <v>3</v>
      </c>
      <c r="G17" s="10" t="s">
        <v>327</v>
      </c>
    </row>
    <row r="18" customFormat="false" ht="23.85" hidden="false" customHeight="false" outlineLevel="0" collapsed="false">
      <c r="A18" s="9"/>
      <c r="B18" s="10" t="s">
        <v>194</v>
      </c>
      <c r="C18" s="10" t="s">
        <v>365</v>
      </c>
      <c r="D18" s="10" t="s">
        <v>325</v>
      </c>
      <c r="E18" s="10" t="s">
        <v>366</v>
      </c>
      <c r="F18" s="10" t="n">
        <v>1</v>
      </c>
      <c r="G18" s="10" t="s">
        <v>327</v>
      </c>
    </row>
    <row r="19" customFormat="false" ht="23.85" hidden="false" customHeight="false" outlineLevel="0" collapsed="false">
      <c r="A19" s="9"/>
      <c r="B19" s="10" t="s">
        <v>147</v>
      </c>
      <c r="C19" s="10" t="s">
        <v>367</v>
      </c>
      <c r="D19" s="10" t="s">
        <v>368</v>
      </c>
      <c r="E19" s="10" t="s">
        <v>369</v>
      </c>
      <c r="F19" s="10" t="n">
        <v>2</v>
      </c>
      <c r="G19" s="10" t="s">
        <v>327</v>
      </c>
    </row>
    <row r="20" customFormat="false" ht="23.85" hidden="false" customHeight="false" outlineLevel="0" collapsed="false">
      <c r="A20" s="7" t="s">
        <v>80</v>
      </c>
      <c r="B20" s="8" t="s">
        <v>370</v>
      </c>
      <c r="C20" s="8" t="s">
        <v>371</v>
      </c>
      <c r="D20" s="8" t="s">
        <v>325</v>
      </c>
      <c r="E20" s="8" t="s">
        <v>372</v>
      </c>
      <c r="F20" s="8" t="n">
        <v>4</v>
      </c>
      <c r="G20" s="8" t="s">
        <v>330</v>
      </c>
    </row>
    <row r="21" customFormat="false" ht="15" hidden="false" customHeight="false" outlineLevel="0" collapsed="false">
      <c r="A21" s="9"/>
      <c r="B21" s="10" t="s">
        <v>129</v>
      </c>
      <c r="C21" s="10" t="s">
        <v>360</v>
      </c>
      <c r="D21" s="10" t="s">
        <v>325</v>
      </c>
      <c r="E21" s="10" t="s">
        <v>373</v>
      </c>
      <c r="F21" s="10" t="n">
        <v>2</v>
      </c>
      <c r="G21" s="10" t="s">
        <v>327</v>
      </c>
    </row>
    <row r="22" customFormat="false" ht="23.85" hidden="false" customHeight="false" outlineLevel="0" collapsed="false">
      <c r="A22" s="9"/>
      <c r="B22" s="10" t="s">
        <v>362</v>
      </c>
      <c r="C22" s="10" t="s">
        <v>363</v>
      </c>
      <c r="D22" s="10" t="s">
        <v>325</v>
      </c>
      <c r="E22" s="10" t="s">
        <v>374</v>
      </c>
      <c r="F22" s="10" t="n">
        <v>1</v>
      </c>
      <c r="G22" s="10" t="s">
        <v>327</v>
      </c>
    </row>
    <row r="23" customFormat="false" ht="15" hidden="false" customHeight="false" outlineLevel="0" collapsed="false">
      <c r="A23" s="9"/>
      <c r="B23" s="10" t="s">
        <v>270</v>
      </c>
      <c r="C23" s="10" t="s">
        <v>375</v>
      </c>
      <c r="D23" s="10" t="s">
        <v>376</v>
      </c>
      <c r="E23" s="10" t="s">
        <v>377</v>
      </c>
      <c r="F23" s="10" t="n">
        <v>1</v>
      </c>
      <c r="G23" s="10" t="s">
        <v>327</v>
      </c>
    </row>
    <row r="24" customFormat="false" ht="15" hidden="false" customHeight="false" outlineLevel="0" collapsed="false">
      <c r="A24" s="7" t="s">
        <v>87</v>
      </c>
      <c r="B24" s="8" t="s">
        <v>323</v>
      </c>
      <c r="C24" s="8" t="s">
        <v>324</v>
      </c>
      <c r="D24" s="8" t="s">
        <v>325</v>
      </c>
      <c r="E24" s="8" t="s">
        <v>378</v>
      </c>
      <c r="F24" s="8" t="n">
        <v>1</v>
      </c>
      <c r="G24" s="8" t="s">
        <v>327</v>
      </c>
    </row>
    <row r="25" customFormat="false" ht="23.85" hidden="false" customHeight="false" outlineLevel="0" collapsed="false">
      <c r="A25" s="9"/>
      <c r="B25" s="10" t="s">
        <v>73</v>
      </c>
      <c r="C25" s="10" t="s">
        <v>379</v>
      </c>
      <c r="D25" s="10" t="s">
        <v>325</v>
      </c>
      <c r="E25" s="10" t="s">
        <v>380</v>
      </c>
      <c r="F25" s="10" t="n">
        <v>2</v>
      </c>
      <c r="G25" s="10" t="s">
        <v>327</v>
      </c>
    </row>
    <row r="26" customFormat="false" ht="35.05" hidden="false" customHeight="false" outlineLevel="0" collapsed="false">
      <c r="A26" s="7" t="s">
        <v>90</v>
      </c>
      <c r="B26" s="8" t="s">
        <v>323</v>
      </c>
      <c r="C26" s="8" t="s">
        <v>324</v>
      </c>
      <c r="D26" s="8" t="s">
        <v>325</v>
      </c>
      <c r="E26" s="8" t="s">
        <v>381</v>
      </c>
      <c r="F26" s="8" t="n">
        <v>15</v>
      </c>
      <c r="G26" s="8" t="s">
        <v>330</v>
      </c>
    </row>
    <row r="27" customFormat="false" ht="15" hidden="false" customHeight="false" outlineLevel="0" collapsed="false">
      <c r="A27" s="9"/>
      <c r="B27" s="10" t="s">
        <v>86</v>
      </c>
      <c r="C27" s="10" t="s">
        <v>382</v>
      </c>
      <c r="D27" s="10" t="s">
        <v>325</v>
      </c>
      <c r="E27" s="10" t="s">
        <v>383</v>
      </c>
      <c r="F27" s="10" t="n">
        <v>2</v>
      </c>
      <c r="G27" s="10" t="s">
        <v>327</v>
      </c>
    </row>
    <row r="28" customFormat="false" ht="46.25" hidden="false" customHeight="false" outlineLevel="0" collapsed="false">
      <c r="A28" s="7" t="s">
        <v>97</v>
      </c>
      <c r="B28" s="8" t="s">
        <v>95</v>
      </c>
      <c r="C28" s="8" t="s">
        <v>384</v>
      </c>
      <c r="D28" s="8" t="s">
        <v>325</v>
      </c>
      <c r="E28" s="8" t="s">
        <v>385</v>
      </c>
      <c r="F28" s="8" t="n">
        <v>7</v>
      </c>
      <c r="G28" s="8" t="s">
        <v>330</v>
      </c>
    </row>
    <row r="29" customFormat="false" ht="35.05" hidden="false" customHeight="false" outlineLevel="0" collapsed="false">
      <c r="A29" s="9"/>
      <c r="B29" s="10" t="s">
        <v>386</v>
      </c>
      <c r="C29" s="10" t="s">
        <v>387</v>
      </c>
      <c r="D29" s="10" t="s">
        <v>325</v>
      </c>
      <c r="E29" s="10" t="s">
        <v>388</v>
      </c>
      <c r="F29" s="10" t="n">
        <v>12</v>
      </c>
      <c r="G29" s="10" t="s">
        <v>330</v>
      </c>
    </row>
    <row r="30" customFormat="false" ht="15" hidden="false" customHeight="false" outlineLevel="0" collapsed="false">
      <c r="A30" s="9"/>
      <c r="B30" s="10" t="s">
        <v>389</v>
      </c>
      <c r="C30" s="10" t="s">
        <v>390</v>
      </c>
      <c r="D30" s="10" t="s">
        <v>325</v>
      </c>
      <c r="E30" s="10" t="s">
        <v>391</v>
      </c>
      <c r="F30" s="10" t="n">
        <v>1</v>
      </c>
      <c r="G30" s="10" t="s">
        <v>327</v>
      </c>
    </row>
    <row r="31" customFormat="false" ht="35.05" hidden="false" customHeight="false" outlineLevel="0" collapsed="false">
      <c r="A31" s="9"/>
      <c r="B31" s="10" t="s">
        <v>126</v>
      </c>
      <c r="C31" s="10" t="s">
        <v>392</v>
      </c>
      <c r="D31" s="10" t="s">
        <v>325</v>
      </c>
      <c r="E31" s="10" t="s">
        <v>393</v>
      </c>
      <c r="F31" s="10" t="n">
        <v>4</v>
      </c>
      <c r="G31" s="10" t="s">
        <v>330</v>
      </c>
    </row>
    <row r="32" customFormat="false" ht="35.05" hidden="false" customHeight="false" outlineLevel="0" collapsed="false">
      <c r="A32" s="9"/>
      <c r="B32" s="10" t="s">
        <v>86</v>
      </c>
      <c r="C32" s="10" t="s">
        <v>382</v>
      </c>
      <c r="D32" s="10" t="s">
        <v>325</v>
      </c>
      <c r="E32" s="10" t="s">
        <v>394</v>
      </c>
      <c r="F32" s="10" t="n">
        <v>3</v>
      </c>
      <c r="G32" s="10" t="s">
        <v>327</v>
      </c>
    </row>
    <row r="33" customFormat="false" ht="15" hidden="false" customHeight="false" outlineLevel="0" collapsed="false">
      <c r="A33" s="7" t="s">
        <v>100</v>
      </c>
      <c r="B33" s="8" t="s">
        <v>370</v>
      </c>
      <c r="C33" s="8" t="s">
        <v>371</v>
      </c>
      <c r="D33" s="8" t="s">
        <v>325</v>
      </c>
      <c r="E33" s="8" t="s">
        <v>100</v>
      </c>
      <c r="F33" s="8" t="n">
        <v>3</v>
      </c>
      <c r="G33" s="8" t="s">
        <v>327</v>
      </c>
    </row>
    <row r="34" customFormat="false" ht="23.85" hidden="false" customHeight="false" outlineLevel="0" collapsed="false">
      <c r="A34" s="9"/>
      <c r="B34" s="10" t="s">
        <v>14</v>
      </c>
      <c r="C34" s="10" t="s">
        <v>395</v>
      </c>
      <c r="D34" s="10" t="s">
        <v>325</v>
      </c>
      <c r="E34" s="10" t="s">
        <v>396</v>
      </c>
      <c r="F34" s="10" t="n">
        <v>1</v>
      </c>
      <c r="G34" s="10" t="s">
        <v>327</v>
      </c>
    </row>
    <row r="35" customFormat="false" ht="23.85" hidden="false" customHeight="false" outlineLevel="0" collapsed="false">
      <c r="A35" s="9"/>
      <c r="B35" s="10" t="s">
        <v>106</v>
      </c>
      <c r="C35" s="10" t="s">
        <v>397</v>
      </c>
      <c r="D35" s="10" t="s">
        <v>325</v>
      </c>
      <c r="E35" s="10" t="s">
        <v>398</v>
      </c>
      <c r="F35" s="10" t="n">
        <v>2</v>
      </c>
      <c r="G35" s="10" t="s">
        <v>327</v>
      </c>
    </row>
    <row r="36" customFormat="false" ht="23.85" hidden="false" customHeight="false" outlineLevel="0" collapsed="false">
      <c r="A36" s="9"/>
      <c r="B36" s="10" t="s">
        <v>106</v>
      </c>
      <c r="C36" s="10" t="s">
        <v>397</v>
      </c>
      <c r="D36" s="10" t="s">
        <v>399</v>
      </c>
      <c r="E36" s="10" t="s">
        <v>400</v>
      </c>
      <c r="F36" s="10" t="n">
        <v>4</v>
      </c>
      <c r="G36" s="10" t="s">
        <v>330</v>
      </c>
    </row>
    <row r="37" customFormat="false" ht="23.85" hidden="false" customHeight="false" outlineLevel="0" collapsed="false">
      <c r="A37" s="7" t="s">
        <v>111</v>
      </c>
      <c r="B37" s="8" t="s">
        <v>109</v>
      </c>
      <c r="C37" s="8" t="s">
        <v>401</v>
      </c>
      <c r="D37" s="8" t="s">
        <v>325</v>
      </c>
      <c r="E37" s="8" t="s">
        <v>402</v>
      </c>
      <c r="F37" s="8" t="n">
        <v>1</v>
      </c>
      <c r="G37" s="8" t="s">
        <v>327</v>
      </c>
    </row>
    <row r="38" customFormat="false" ht="23.85" hidden="false" customHeight="false" outlineLevel="0" collapsed="false">
      <c r="A38" s="9"/>
      <c r="B38" s="10" t="s">
        <v>230</v>
      </c>
      <c r="C38" s="10" t="s">
        <v>403</v>
      </c>
      <c r="D38" s="10" t="s">
        <v>325</v>
      </c>
      <c r="E38" s="10" t="s">
        <v>404</v>
      </c>
      <c r="F38" s="10" t="n">
        <v>1</v>
      </c>
      <c r="G38" s="10" t="s">
        <v>327</v>
      </c>
    </row>
    <row r="39" customFormat="false" ht="15" hidden="false" customHeight="false" outlineLevel="0" collapsed="false">
      <c r="A39" s="7" t="s">
        <v>131</v>
      </c>
      <c r="B39" s="8" t="s">
        <v>95</v>
      </c>
      <c r="C39" s="8" t="s">
        <v>384</v>
      </c>
      <c r="D39" s="8" t="s">
        <v>325</v>
      </c>
      <c r="E39" s="8" t="s">
        <v>130</v>
      </c>
      <c r="F39" s="8" t="n">
        <v>1</v>
      </c>
      <c r="G39" s="8" t="s">
        <v>327</v>
      </c>
    </row>
    <row r="40" customFormat="false" ht="15" hidden="false" customHeight="false" outlineLevel="0" collapsed="false">
      <c r="A40" s="9"/>
      <c r="B40" s="10" t="s">
        <v>405</v>
      </c>
      <c r="C40" s="10" t="s">
        <v>406</v>
      </c>
      <c r="D40" s="10" t="s">
        <v>325</v>
      </c>
      <c r="E40" s="10" t="s">
        <v>407</v>
      </c>
      <c r="F40" s="10" t="n">
        <v>1</v>
      </c>
      <c r="G40" s="10" t="s">
        <v>327</v>
      </c>
    </row>
    <row r="41" customFormat="false" ht="23.85" hidden="false" customHeight="false" outlineLevel="0" collapsed="false">
      <c r="A41" s="9"/>
      <c r="B41" s="10" t="s">
        <v>405</v>
      </c>
      <c r="C41" s="10" t="s">
        <v>406</v>
      </c>
      <c r="D41" s="10" t="s">
        <v>408</v>
      </c>
      <c r="E41" s="10" t="s">
        <v>409</v>
      </c>
      <c r="F41" s="10" t="n">
        <v>2</v>
      </c>
      <c r="G41" s="10" t="s">
        <v>327</v>
      </c>
    </row>
    <row r="42" customFormat="false" ht="46.25" hidden="false" customHeight="false" outlineLevel="0" collapsed="false">
      <c r="A42" s="7" t="s">
        <v>138</v>
      </c>
      <c r="B42" s="8" t="s">
        <v>244</v>
      </c>
      <c r="C42" s="8" t="s">
        <v>410</v>
      </c>
      <c r="D42" s="8" t="s">
        <v>325</v>
      </c>
      <c r="E42" s="8" t="s">
        <v>411</v>
      </c>
      <c r="F42" s="8" t="n">
        <v>10</v>
      </c>
      <c r="G42" s="8" t="s">
        <v>330</v>
      </c>
    </row>
    <row r="43" customFormat="false" ht="15" hidden="false" customHeight="false" outlineLevel="0" collapsed="false">
      <c r="A43" s="9"/>
      <c r="B43" s="10" t="s">
        <v>386</v>
      </c>
      <c r="C43" s="10" t="s">
        <v>387</v>
      </c>
      <c r="D43" s="10" t="s">
        <v>325</v>
      </c>
      <c r="E43" s="10" t="s">
        <v>412</v>
      </c>
      <c r="F43" s="10" t="n">
        <v>2</v>
      </c>
      <c r="G43" s="10" t="s">
        <v>327</v>
      </c>
    </row>
    <row r="44" customFormat="false" ht="15" hidden="false" customHeight="false" outlineLevel="0" collapsed="false">
      <c r="A44" s="7" t="s">
        <v>141</v>
      </c>
      <c r="B44" s="8" t="s">
        <v>386</v>
      </c>
      <c r="C44" s="8" t="s">
        <v>387</v>
      </c>
      <c r="D44" s="8" t="s">
        <v>325</v>
      </c>
      <c r="E44" s="8" t="s">
        <v>413</v>
      </c>
      <c r="F44" s="8" t="n">
        <v>2</v>
      </c>
      <c r="G44" s="8" t="s">
        <v>327</v>
      </c>
    </row>
    <row r="45" customFormat="false" ht="15" hidden="false" customHeight="false" outlineLevel="0" collapsed="false">
      <c r="A45" s="9"/>
      <c r="B45" s="10" t="s">
        <v>126</v>
      </c>
      <c r="C45" s="10" t="s">
        <v>392</v>
      </c>
      <c r="D45" s="10" t="s">
        <v>325</v>
      </c>
      <c r="E45" s="10" t="s">
        <v>414</v>
      </c>
      <c r="F45" s="10" t="n">
        <v>2</v>
      </c>
      <c r="G45" s="10" t="s">
        <v>327</v>
      </c>
    </row>
    <row r="46" customFormat="false" ht="23.85" hidden="false" customHeight="false" outlineLevel="0" collapsed="false">
      <c r="A46" s="7" t="s">
        <v>151</v>
      </c>
      <c r="B46" s="8" t="s">
        <v>14</v>
      </c>
      <c r="C46" s="8" t="s">
        <v>395</v>
      </c>
      <c r="D46" s="8" t="s">
        <v>325</v>
      </c>
      <c r="E46" s="8" t="s">
        <v>415</v>
      </c>
      <c r="F46" s="8" t="n">
        <v>4</v>
      </c>
      <c r="G46" s="8" t="s">
        <v>330</v>
      </c>
    </row>
    <row r="47" customFormat="false" ht="15" hidden="false" customHeight="false" outlineLevel="0" collapsed="false">
      <c r="A47" s="9"/>
      <c r="B47" s="10" t="s">
        <v>150</v>
      </c>
      <c r="C47" s="10" t="s">
        <v>416</v>
      </c>
      <c r="D47" s="10" t="s">
        <v>325</v>
      </c>
      <c r="E47" s="10" t="s">
        <v>417</v>
      </c>
      <c r="F47" s="10" t="n">
        <v>3</v>
      </c>
      <c r="G47" s="10" t="s">
        <v>327</v>
      </c>
    </row>
    <row r="48" customFormat="false" ht="23.85" hidden="false" customHeight="false" outlineLevel="0" collapsed="false">
      <c r="A48" s="7" t="s">
        <v>154</v>
      </c>
      <c r="B48" s="8" t="s">
        <v>14</v>
      </c>
      <c r="C48" s="8" t="s">
        <v>395</v>
      </c>
      <c r="D48" s="8" t="s">
        <v>325</v>
      </c>
      <c r="E48" s="8" t="s">
        <v>418</v>
      </c>
      <c r="F48" s="8" t="n">
        <v>4</v>
      </c>
      <c r="G48" s="8" t="s">
        <v>330</v>
      </c>
    </row>
    <row r="49" customFormat="false" ht="15" hidden="false" customHeight="false" outlineLevel="0" collapsed="false">
      <c r="A49" s="9"/>
      <c r="B49" s="10" t="s">
        <v>118</v>
      </c>
      <c r="C49" s="10" t="s">
        <v>419</v>
      </c>
      <c r="D49" s="10" t="s">
        <v>325</v>
      </c>
      <c r="E49" s="10" t="s">
        <v>420</v>
      </c>
      <c r="F49" s="10" t="n">
        <v>2</v>
      </c>
      <c r="G49" s="10" t="s">
        <v>327</v>
      </c>
    </row>
    <row r="50" customFormat="false" ht="35.05" hidden="false" customHeight="false" outlineLevel="0" collapsed="false">
      <c r="A50" s="9"/>
      <c r="B50" s="10" t="s">
        <v>129</v>
      </c>
      <c r="C50" s="10" t="s">
        <v>360</v>
      </c>
      <c r="D50" s="10" t="s">
        <v>325</v>
      </c>
      <c r="E50" s="10" t="s">
        <v>421</v>
      </c>
      <c r="F50" s="10" t="n">
        <v>4</v>
      </c>
      <c r="G50" s="10" t="s">
        <v>330</v>
      </c>
    </row>
    <row r="51" customFormat="false" ht="15" hidden="false" customHeight="false" outlineLevel="0" collapsed="false">
      <c r="A51" s="7" t="s">
        <v>157</v>
      </c>
      <c r="B51" s="8" t="s">
        <v>159</v>
      </c>
      <c r="C51" s="8" t="s">
        <v>422</v>
      </c>
      <c r="D51" s="8" t="s">
        <v>325</v>
      </c>
      <c r="E51" s="8" t="s">
        <v>423</v>
      </c>
      <c r="F51" s="8" t="n">
        <v>3</v>
      </c>
      <c r="G51" s="8" t="s">
        <v>327</v>
      </c>
    </row>
    <row r="52" customFormat="false" ht="23.85" hidden="false" customHeight="false" outlineLevel="0" collapsed="false">
      <c r="A52" s="9"/>
      <c r="B52" s="10" t="s">
        <v>159</v>
      </c>
      <c r="C52" s="10" t="s">
        <v>422</v>
      </c>
      <c r="D52" s="10" t="s">
        <v>424</v>
      </c>
      <c r="E52" s="10" t="s">
        <v>425</v>
      </c>
      <c r="F52" s="10" t="n">
        <v>1</v>
      </c>
      <c r="G52" s="10" t="s">
        <v>327</v>
      </c>
    </row>
    <row r="53" customFormat="false" ht="15" hidden="false" customHeight="false" outlineLevel="0" collapsed="false">
      <c r="A53" s="9"/>
      <c r="B53" s="10" t="s">
        <v>129</v>
      </c>
      <c r="C53" s="10" t="s">
        <v>360</v>
      </c>
      <c r="D53" s="10" t="s">
        <v>426</v>
      </c>
      <c r="E53" s="10" t="s">
        <v>427</v>
      </c>
      <c r="F53" s="10" t="n">
        <v>2</v>
      </c>
      <c r="G53" s="10" t="s">
        <v>327</v>
      </c>
    </row>
    <row r="54" customFormat="false" ht="15" hidden="false" customHeight="false" outlineLevel="0" collapsed="false">
      <c r="A54" s="7" t="s">
        <v>166</v>
      </c>
      <c r="B54" s="8" t="s">
        <v>252</v>
      </c>
      <c r="C54" s="8" t="s">
        <v>428</v>
      </c>
      <c r="D54" s="8" t="s">
        <v>325</v>
      </c>
      <c r="E54" s="8" t="s">
        <v>429</v>
      </c>
      <c r="F54" s="8" t="n">
        <v>1</v>
      </c>
      <c r="G54" s="8" t="s">
        <v>327</v>
      </c>
    </row>
    <row r="55" customFormat="false" ht="57.45" hidden="false" customHeight="false" outlineLevel="0" collapsed="false">
      <c r="A55" s="9"/>
      <c r="B55" s="10" t="s">
        <v>171</v>
      </c>
      <c r="C55" s="10" t="s">
        <v>430</v>
      </c>
      <c r="D55" s="10" t="s">
        <v>325</v>
      </c>
      <c r="E55" s="10" t="s">
        <v>431</v>
      </c>
      <c r="F55" s="10" t="n">
        <v>9</v>
      </c>
      <c r="G55" s="10" t="s">
        <v>330</v>
      </c>
    </row>
    <row r="56" customFormat="false" ht="35.05" hidden="false" customHeight="false" outlineLevel="0" collapsed="false">
      <c r="A56" s="7" t="s">
        <v>177</v>
      </c>
      <c r="B56" s="8" t="s">
        <v>176</v>
      </c>
      <c r="C56" s="8" t="s">
        <v>336</v>
      </c>
      <c r="D56" s="8" t="s">
        <v>325</v>
      </c>
      <c r="E56" s="8" t="s">
        <v>432</v>
      </c>
      <c r="F56" s="8" t="n">
        <v>10</v>
      </c>
      <c r="G56" s="8" t="s">
        <v>330</v>
      </c>
    </row>
    <row r="57" customFormat="false" ht="23.85" hidden="false" customHeight="false" outlineLevel="0" collapsed="false">
      <c r="A57" s="9"/>
      <c r="B57" s="10" t="s">
        <v>309</v>
      </c>
      <c r="C57" s="10" t="s">
        <v>433</v>
      </c>
      <c r="D57" s="10" t="s">
        <v>434</v>
      </c>
      <c r="E57" s="10" t="s">
        <v>435</v>
      </c>
      <c r="F57" s="10" t="n">
        <v>35</v>
      </c>
      <c r="G57" s="10" t="s">
        <v>330</v>
      </c>
    </row>
    <row r="58" customFormat="false" ht="15" hidden="false" customHeight="false" outlineLevel="0" collapsed="false">
      <c r="A58" s="9"/>
      <c r="B58" s="10" t="s">
        <v>176</v>
      </c>
      <c r="C58" s="10" t="s">
        <v>336</v>
      </c>
      <c r="D58" s="10" t="s">
        <v>436</v>
      </c>
      <c r="E58" s="10" t="s">
        <v>437</v>
      </c>
      <c r="F58" s="10" t="n">
        <v>2</v>
      </c>
      <c r="G58" s="10" t="s">
        <v>327</v>
      </c>
    </row>
    <row r="59" customFormat="false" ht="35.05" hidden="false" customHeight="false" outlineLevel="0" collapsed="false">
      <c r="A59" s="9"/>
      <c r="B59" s="10" t="s">
        <v>309</v>
      </c>
      <c r="C59" s="10" t="s">
        <v>433</v>
      </c>
      <c r="D59" s="10" t="s">
        <v>436</v>
      </c>
      <c r="E59" s="10" t="s">
        <v>438</v>
      </c>
      <c r="F59" s="10" t="n">
        <v>43</v>
      </c>
      <c r="G59" s="10" t="s">
        <v>330</v>
      </c>
    </row>
    <row r="60" customFormat="false" ht="23.85" hidden="false" customHeight="false" outlineLevel="0" collapsed="false">
      <c r="A60" s="9"/>
      <c r="B60" s="10" t="s">
        <v>182</v>
      </c>
      <c r="C60" s="10" t="s">
        <v>439</v>
      </c>
      <c r="D60" s="10" t="s">
        <v>436</v>
      </c>
      <c r="E60" s="10" t="s">
        <v>440</v>
      </c>
      <c r="F60" s="10" t="n">
        <v>1</v>
      </c>
      <c r="G60" s="10" t="s">
        <v>327</v>
      </c>
    </row>
    <row r="61" customFormat="false" ht="15" hidden="false" customHeight="false" outlineLevel="0" collapsed="false">
      <c r="A61" s="7" t="s">
        <v>189</v>
      </c>
      <c r="B61" s="8" t="s">
        <v>129</v>
      </c>
      <c r="C61" s="8" t="s">
        <v>360</v>
      </c>
      <c r="D61" s="8" t="s">
        <v>325</v>
      </c>
      <c r="E61" s="8" t="s">
        <v>441</v>
      </c>
      <c r="F61" s="8" t="n">
        <v>1</v>
      </c>
      <c r="G61" s="8" t="s">
        <v>327</v>
      </c>
    </row>
    <row r="62" customFormat="false" ht="15" hidden="false" customHeight="false" outlineLevel="0" collapsed="false">
      <c r="A62" s="9"/>
      <c r="B62" s="10" t="s">
        <v>186</v>
      </c>
      <c r="C62" s="10" t="s">
        <v>442</v>
      </c>
      <c r="D62" s="10" t="s">
        <v>443</v>
      </c>
      <c r="E62" s="10" t="s">
        <v>444</v>
      </c>
      <c r="F62" s="10" t="n">
        <v>1</v>
      </c>
      <c r="G62" s="10" t="s">
        <v>327</v>
      </c>
    </row>
    <row r="63" customFormat="false" ht="23.85" hidden="false" customHeight="false" outlineLevel="0" collapsed="false">
      <c r="A63" s="7" t="s">
        <v>196</v>
      </c>
      <c r="B63" s="8" t="s">
        <v>186</v>
      </c>
      <c r="C63" s="8" t="s">
        <v>442</v>
      </c>
      <c r="D63" s="8" t="s">
        <v>325</v>
      </c>
      <c r="E63" s="8" t="s">
        <v>445</v>
      </c>
      <c r="F63" s="8" t="n">
        <v>2</v>
      </c>
      <c r="G63" s="8" t="s">
        <v>327</v>
      </c>
    </row>
    <row r="64" customFormat="false" ht="15" hidden="false" customHeight="false" outlineLevel="0" collapsed="false">
      <c r="A64" s="9"/>
      <c r="B64" s="10" t="s">
        <v>186</v>
      </c>
      <c r="C64" s="10" t="s">
        <v>442</v>
      </c>
      <c r="D64" s="10" t="s">
        <v>446</v>
      </c>
      <c r="E64" s="10" t="s">
        <v>447</v>
      </c>
      <c r="F64" s="10" t="n">
        <v>1</v>
      </c>
      <c r="G64" s="10" t="s">
        <v>327</v>
      </c>
    </row>
    <row r="65" customFormat="false" ht="23.85" hidden="false" customHeight="false" outlineLevel="0" collapsed="false">
      <c r="A65" s="9"/>
      <c r="B65" s="10" t="s">
        <v>194</v>
      </c>
      <c r="C65" s="10" t="s">
        <v>365</v>
      </c>
      <c r="D65" s="10" t="s">
        <v>446</v>
      </c>
      <c r="E65" s="10" t="s">
        <v>445</v>
      </c>
      <c r="F65" s="10" t="n">
        <v>2</v>
      </c>
      <c r="G65" s="10" t="s">
        <v>327</v>
      </c>
    </row>
    <row r="66" customFormat="false" ht="23.85" hidden="false" customHeight="false" outlineLevel="0" collapsed="false">
      <c r="A66" s="7" t="s">
        <v>199</v>
      </c>
      <c r="B66" s="8" t="s">
        <v>201</v>
      </c>
      <c r="C66" s="8" t="s">
        <v>448</v>
      </c>
      <c r="D66" s="8" t="s">
        <v>325</v>
      </c>
      <c r="E66" s="8" t="s">
        <v>449</v>
      </c>
      <c r="F66" s="8" t="n">
        <v>1</v>
      </c>
      <c r="G66" s="8" t="s">
        <v>327</v>
      </c>
    </row>
    <row r="67" customFormat="false" ht="35.05" hidden="false" customHeight="false" outlineLevel="0" collapsed="false">
      <c r="A67" s="9"/>
      <c r="B67" s="10" t="s">
        <v>201</v>
      </c>
      <c r="C67" s="10" t="s">
        <v>448</v>
      </c>
      <c r="D67" s="10" t="s">
        <v>450</v>
      </c>
      <c r="E67" s="10" t="s">
        <v>451</v>
      </c>
      <c r="F67" s="10" t="n">
        <v>8</v>
      </c>
      <c r="G67" s="10" t="s">
        <v>330</v>
      </c>
    </row>
    <row r="68" customFormat="false" ht="23.85" hidden="false" customHeight="false" outlineLevel="0" collapsed="false">
      <c r="A68" s="9"/>
      <c r="B68" s="10" t="s">
        <v>86</v>
      </c>
      <c r="C68" s="10" t="s">
        <v>382</v>
      </c>
      <c r="D68" s="10" t="s">
        <v>450</v>
      </c>
      <c r="E68" s="10" t="s">
        <v>452</v>
      </c>
      <c r="F68" s="10" t="n">
        <v>2</v>
      </c>
      <c r="G68" s="10" t="s">
        <v>327</v>
      </c>
    </row>
    <row r="69" customFormat="false" ht="23.85" hidden="false" customHeight="false" outlineLevel="0" collapsed="false">
      <c r="A69" s="7" t="s">
        <v>216</v>
      </c>
      <c r="B69" s="8" t="s">
        <v>230</v>
      </c>
      <c r="C69" s="8" t="s">
        <v>403</v>
      </c>
      <c r="D69" s="8" t="s">
        <v>325</v>
      </c>
      <c r="E69" s="8" t="s">
        <v>453</v>
      </c>
      <c r="F69" s="8" t="n">
        <v>1</v>
      </c>
      <c r="G69" s="8" t="s">
        <v>327</v>
      </c>
    </row>
    <row r="70" customFormat="false" ht="15" hidden="false" customHeight="false" outlineLevel="0" collapsed="false">
      <c r="A70" s="9"/>
      <c r="B70" s="10" t="s">
        <v>454</v>
      </c>
      <c r="C70" s="10" t="s">
        <v>455</v>
      </c>
      <c r="D70" s="10" t="s">
        <v>325</v>
      </c>
      <c r="E70" s="10" t="s">
        <v>456</v>
      </c>
      <c r="F70" s="10" t="n">
        <v>1</v>
      </c>
      <c r="G70" s="10" t="s">
        <v>327</v>
      </c>
    </row>
    <row r="71" customFormat="false" ht="35.05" hidden="false" customHeight="false" outlineLevel="0" collapsed="false">
      <c r="A71" s="9"/>
      <c r="B71" s="10" t="s">
        <v>214</v>
      </c>
      <c r="C71" s="10" t="s">
        <v>457</v>
      </c>
      <c r="D71" s="10" t="s">
        <v>325</v>
      </c>
      <c r="E71" s="10" t="s">
        <v>458</v>
      </c>
      <c r="F71" s="10" t="n">
        <v>15</v>
      </c>
      <c r="G71" s="10" t="s">
        <v>330</v>
      </c>
    </row>
    <row r="72" customFormat="false" ht="23.85" hidden="false" customHeight="false" outlineLevel="0" collapsed="false">
      <c r="A72" s="7" t="s">
        <v>245</v>
      </c>
      <c r="B72" s="8" t="s">
        <v>459</v>
      </c>
      <c r="C72" s="8" t="s">
        <v>460</v>
      </c>
      <c r="D72" s="8" t="s">
        <v>325</v>
      </c>
      <c r="E72" s="8" t="s">
        <v>461</v>
      </c>
      <c r="F72" s="8" t="n">
        <v>1</v>
      </c>
      <c r="G72" s="8" t="s">
        <v>327</v>
      </c>
    </row>
    <row r="73" customFormat="false" ht="23.85" hidden="false" customHeight="false" outlineLevel="0" collapsed="false">
      <c r="A73" s="9"/>
      <c r="B73" s="10" t="s">
        <v>462</v>
      </c>
      <c r="C73" s="10" t="s">
        <v>463</v>
      </c>
      <c r="D73" s="10" t="s">
        <v>325</v>
      </c>
      <c r="E73" s="10" t="s">
        <v>464</v>
      </c>
      <c r="F73" s="10" t="n">
        <v>6</v>
      </c>
      <c r="G73" s="10" t="s">
        <v>330</v>
      </c>
    </row>
    <row r="74" customFormat="false" ht="23.85" hidden="false" customHeight="false" outlineLevel="0" collapsed="false">
      <c r="A74" s="9"/>
      <c r="B74" s="10" t="s">
        <v>186</v>
      </c>
      <c r="C74" s="10" t="s">
        <v>442</v>
      </c>
      <c r="D74" s="10" t="s">
        <v>465</v>
      </c>
      <c r="E74" s="10" t="s">
        <v>466</v>
      </c>
      <c r="F74" s="10" t="n">
        <v>2</v>
      </c>
      <c r="G74" s="10" t="s">
        <v>327</v>
      </c>
    </row>
    <row r="75" customFormat="false" ht="15" hidden="false" customHeight="false" outlineLevel="0" collapsed="false">
      <c r="A75" s="7" t="s">
        <v>255</v>
      </c>
      <c r="B75" s="8" t="s">
        <v>370</v>
      </c>
      <c r="C75" s="8" t="s">
        <v>371</v>
      </c>
      <c r="D75" s="8" t="s">
        <v>325</v>
      </c>
      <c r="E75" s="8" t="s">
        <v>467</v>
      </c>
      <c r="F75" s="8" t="n">
        <v>3</v>
      </c>
      <c r="G75" s="8" t="s">
        <v>327</v>
      </c>
    </row>
    <row r="76" customFormat="false" ht="15" hidden="false" customHeight="false" outlineLevel="0" collapsed="false">
      <c r="A76" s="9"/>
      <c r="B76" s="10" t="s">
        <v>323</v>
      </c>
      <c r="C76" s="10" t="s">
        <v>324</v>
      </c>
      <c r="D76" s="10" t="s">
        <v>325</v>
      </c>
      <c r="E76" s="10" t="s">
        <v>468</v>
      </c>
      <c r="F76" s="10" t="n">
        <v>1</v>
      </c>
      <c r="G76" s="10" t="s">
        <v>327</v>
      </c>
    </row>
    <row r="77" customFormat="false" ht="23.85" hidden="false" customHeight="false" outlineLevel="0" collapsed="false">
      <c r="A77" s="9"/>
      <c r="B77" s="10" t="s">
        <v>386</v>
      </c>
      <c r="C77" s="10" t="s">
        <v>387</v>
      </c>
      <c r="D77" s="10" t="s">
        <v>325</v>
      </c>
      <c r="E77" s="10" t="s">
        <v>469</v>
      </c>
      <c r="F77" s="10" t="n">
        <v>5</v>
      </c>
      <c r="G77" s="10" t="s">
        <v>330</v>
      </c>
    </row>
    <row r="78" customFormat="false" ht="23.85" hidden="false" customHeight="false" outlineLevel="0" collapsed="false">
      <c r="A78" s="9"/>
      <c r="B78" s="10" t="s">
        <v>201</v>
      </c>
      <c r="C78" s="10" t="s">
        <v>448</v>
      </c>
      <c r="D78" s="10" t="s">
        <v>325</v>
      </c>
      <c r="E78" s="10" t="s">
        <v>470</v>
      </c>
      <c r="F78" s="10" t="n">
        <v>1</v>
      </c>
      <c r="G78" s="10" t="s">
        <v>327</v>
      </c>
    </row>
    <row r="79" customFormat="false" ht="23.85" hidden="false" customHeight="false" outlineLevel="0" collapsed="false">
      <c r="A79" s="9"/>
      <c r="B79" s="10" t="s">
        <v>370</v>
      </c>
      <c r="C79" s="10" t="s">
        <v>371</v>
      </c>
      <c r="D79" s="10" t="s">
        <v>471</v>
      </c>
      <c r="E79" s="10" t="s">
        <v>472</v>
      </c>
      <c r="F79" s="10" t="n">
        <v>2</v>
      </c>
      <c r="G79" s="10" t="s">
        <v>327</v>
      </c>
    </row>
    <row r="80" customFormat="false" ht="23.85" hidden="false" customHeight="false" outlineLevel="0" collapsed="false">
      <c r="A80" s="9"/>
      <c r="B80" s="10" t="s">
        <v>386</v>
      </c>
      <c r="C80" s="10" t="s">
        <v>387</v>
      </c>
      <c r="D80" s="10" t="s">
        <v>471</v>
      </c>
      <c r="E80" s="10" t="s">
        <v>473</v>
      </c>
      <c r="F80" s="10" t="n">
        <v>1</v>
      </c>
      <c r="G80" s="10" t="s">
        <v>327</v>
      </c>
    </row>
    <row r="81" customFormat="false" ht="23.85" hidden="false" customHeight="false" outlineLevel="0" collapsed="false">
      <c r="A81" s="9"/>
      <c r="B81" s="10" t="s">
        <v>95</v>
      </c>
      <c r="C81" s="10" t="s">
        <v>384</v>
      </c>
      <c r="D81" s="10" t="s">
        <v>474</v>
      </c>
      <c r="E81" s="10" t="s">
        <v>475</v>
      </c>
      <c r="F81" s="10" t="n">
        <v>2</v>
      </c>
      <c r="G81" s="10" t="s">
        <v>327</v>
      </c>
    </row>
    <row r="82" customFormat="false" ht="23.85" hidden="false" customHeight="false" outlineLevel="0" collapsed="false">
      <c r="A82" s="9"/>
      <c r="B82" s="10" t="s">
        <v>201</v>
      </c>
      <c r="C82" s="10" t="s">
        <v>448</v>
      </c>
      <c r="D82" s="10" t="s">
        <v>474</v>
      </c>
      <c r="E82" s="10" t="s">
        <v>476</v>
      </c>
      <c r="F82" s="10" t="n">
        <v>1</v>
      </c>
      <c r="G82" s="10" t="s">
        <v>327</v>
      </c>
    </row>
    <row r="83" customFormat="false" ht="15" hidden="false" customHeight="false" outlineLevel="0" collapsed="false">
      <c r="A83" s="9"/>
      <c r="B83" s="10" t="s">
        <v>86</v>
      </c>
      <c r="C83" s="10" t="s">
        <v>382</v>
      </c>
      <c r="D83" s="10" t="s">
        <v>474</v>
      </c>
      <c r="E83" s="10" t="s">
        <v>477</v>
      </c>
      <c r="F83" s="10" t="n">
        <v>1</v>
      </c>
      <c r="G83" s="10" t="s">
        <v>327</v>
      </c>
    </row>
    <row r="84" customFormat="false" ht="23.85" hidden="false" customHeight="false" outlineLevel="0" collapsed="false">
      <c r="A84" s="7" t="s">
        <v>259</v>
      </c>
      <c r="B84" s="8" t="s">
        <v>370</v>
      </c>
      <c r="C84" s="8" t="s">
        <v>371</v>
      </c>
      <c r="D84" s="8" t="s">
        <v>325</v>
      </c>
      <c r="E84" s="8" t="s">
        <v>478</v>
      </c>
      <c r="F84" s="8" t="n">
        <v>5</v>
      </c>
      <c r="G84" s="8" t="s">
        <v>330</v>
      </c>
    </row>
    <row r="85" customFormat="false" ht="15" hidden="false" customHeight="false" outlineLevel="0" collapsed="false">
      <c r="A85" s="9"/>
      <c r="B85" s="10" t="s">
        <v>118</v>
      </c>
      <c r="C85" s="10" t="s">
        <v>419</v>
      </c>
      <c r="D85" s="10" t="s">
        <v>325</v>
      </c>
      <c r="E85" s="10" t="s">
        <v>479</v>
      </c>
      <c r="F85" s="10" t="n">
        <v>1</v>
      </c>
      <c r="G85" s="10" t="s">
        <v>327</v>
      </c>
    </row>
    <row r="86" customFormat="false" ht="15" hidden="false" customHeight="false" outlineLevel="0" collapsed="false">
      <c r="A86" s="9"/>
      <c r="B86" s="10" t="s">
        <v>126</v>
      </c>
      <c r="C86" s="10" t="s">
        <v>392</v>
      </c>
      <c r="D86" s="10" t="s">
        <v>325</v>
      </c>
      <c r="E86" s="10" t="s">
        <v>480</v>
      </c>
      <c r="F86" s="10" t="n">
        <v>1</v>
      </c>
      <c r="G86" s="10" t="s">
        <v>327</v>
      </c>
    </row>
    <row r="87" customFormat="false" ht="15" hidden="false" customHeight="false" outlineLevel="0" collapsed="false">
      <c r="A87" s="9"/>
      <c r="B87" s="10" t="s">
        <v>118</v>
      </c>
      <c r="C87" s="10" t="s">
        <v>419</v>
      </c>
      <c r="D87" s="10" t="s">
        <v>481</v>
      </c>
      <c r="E87" s="10" t="s">
        <v>482</v>
      </c>
      <c r="F87" s="10" t="n">
        <v>2</v>
      </c>
      <c r="G87" s="10" t="s">
        <v>327</v>
      </c>
    </row>
    <row r="88" customFormat="false" ht="15" hidden="false" customHeight="false" outlineLevel="0" collapsed="false">
      <c r="A88" s="9"/>
      <c r="B88" s="10" t="s">
        <v>129</v>
      </c>
      <c r="C88" s="10" t="s">
        <v>360</v>
      </c>
      <c r="D88" s="10" t="s">
        <v>481</v>
      </c>
      <c r="E88" s="10" t="s">
        <v>483</v>
      </c>
      <c r="F88" s="10" t="n">
        <v>1</v>
      </c>
      <c r="G88" s="10" t="s">
        <v>327</v>
      </c>
    </row>
    <row r="89" customFormat="false" ht="15" hidden="false" customHeight="false" outlineLevel="0" collapsed="false">
      <c r="A89" s="9"/>
      <c r="B89" s="10" t="s">
        <v>484</v>
      </c>
      <c r="C89" s="10" t="s">
        <v>485</v>
      </c>
      <c r="D89" s="10" t="s">
        <v>486</v>
      </c>
      <c r="E89" s="10" t="s">
        <v>487</v>
      </c>
      <c r="F89" s="10" t="n">
        <v>1</v>
      </c>
      <c r="G89" s="10" t="s">
        <v>327</v>
      </c>
    </row>
    <row r="90" customFormat="false" ht="15" hidden="false" customHeight="false" outlineLevel="0" collapsed="false">
      <c r="A90" s="7" t="s">
        <v>265</v>
      </c>
      <c r="B90" s="8" t="s">
        <v>129</v>
      </c>
      <c r="C90" s="8" t="s">
        <v>360</v>
      </c>
      <c r="D90" s="8" t="s">
        <v>325</v>
      </c>
      <c r="E90" s="8" t="s">
        <v>488</v>
      </c>
      <c r="F90" s="8" t="n">
        <v>1</v>
      </c>
      <c r="G90" s="8" t="s">
        <v>327</v>
      </c>
    </row>
    <row r="91" customFormat="false" ht="23.85" hidden="false" customHeight="false" outlineLevel="0" collapsed="false">
      <c r="A91" s="9"/>
      <c r="B91" s="10" t="s">
        <v>270</v>
      </c>
      <c r="C91" s="10" t="s">
        <v>375</v>
      </c>
      <c r="D91" s="10" t="s">
        <v>325</v>
      </c>
      <c r="E91" s="10" t="s">
        <v>489</v>
      </c>
      <c r="F91" s="10" t="n">
        <v>1</v>
      </c>
      <c r="G91" s="10" t="s">
        <v>327</v>
      </c>
    </row>
    <row r="92" customFormat="false" ht="23.85" hidden="false" customHeight="false" outlineLevel="0" collapsed="false">
      <c r="A92" s="9"/>
      <c r="B92" s="10" t="s">
        <v>362</v>
      </c>
      <c r="C92" s="10" t="s">
        <v>363</v>
      </c>
      <c r="D92" s="10" t="s">
        <v>325</v>
      </c>
      <c r="E92" s="10" t="s">
        <v>490</v>
      </c>
      <c r="F92" s="10" t="n">
        <v>1</v>
      </c>
      <c r="G92" s="10" t="s">
        <v>327</v>
      </c>
    </row>
    <row r="93" customFormat="false" ht="68.65" hidden="false" customHeight="false" outlineLevel="0" collapsed="false">
      <c r="A93" s="7" t="s">
        <v>268</v>
      </c>
      <c r="B93" s="8" t="s">
        <v>270</v>
      </c>
      <c r="C93" s="8" t="s">
        <v>375</v>
      </c>
      <c r="D93" s="8" t="s">
        <v>325</v>
      </c>
      <c r="E93" s="8" t="s">
        <v>491</v>
      </c>
      <c r="F93" s="8" t="n">
        <v>18</v>
      </c>
      <c r="G93" s="8" t="s">
        <v>330</v>
      </c>
    </row>
    <row r="94" customFormat="false" ht="23.85" hidden="false" customHeight="false" outlineLevel="0" collapsed="false">
      <c r="A94" s="9"/>
      <c r="B94" s="10" t="s">
        <v>462</v>
      </c>
      <c r="C94" s="10" t="s">
        <v>463</v>
      </c>
      <c r="D94" s="10" t="s">
        <v>492</v>
      </c>
      <c r="E94" s="10" t="s">
        <v>493</v>
      </c>
      <c r="F94" s="10" t="n">
        <v>1</v>
      </c>
      <c r="G94" s="10" t="s">
        <v>327</v>
      </c>
    </row>
    <row r="95" customFormat="false" ht="35.05" hidden="false" customHeight="false" outlineLevel="0" collapsed="false">
      <c r="A95" s="7" t="s">
        <v>279</v>
      </c>
      <c r="B95" s="8" t="s">
        <v>494</v>
      </c>
      <c r="C95" s="8" t="s">
        <v>495</v>
      </c>
      <c r="D95" s="8" t="s">
        <v>325</v>
      </c>
      <c r="E95" s="8" t="s">
        <v>496</v>
      </c>
      <c r="F95" s="8" t="n">
        <v>6</v>
      </c>
      <c r="G95" s="8" t="s">
        <v>330</v>
      </c>
    </row>
    <row r="96" customFormat="false" ht="15" hidden="false" customHeight="false" outlineLevel="0" collapsed="false">
      <c r="A96" s="9"/>
      <c r="B96" s="10" t="s">
        <v>62</v>
      </c>
      <c r="C96" s="10" t="s">
        <v>352</v>
      </c>
      <c r="D96" s="10" t="s">
        <v>325</v>
      </c>
      <c r="E96" s="10" t="s">
        <v>497</v>
      </c>
      <c r="F96" s="10" t="n">
        <v>2</v>
      </c>
      <c r="G96" s="10" t="s">
        <v>327</v>
      </c>
    </row>
    <row r="97" customFormat="false" ht="15" hidden="false" customHeight="false" outlineLevel="0" collapsed="false">
      <c r="A97" s="9"/>
      <c r="B97" s="10" t="s">
        <v>494</v>
      </c>
      <c r="C97" s="10" t="s">
        <v>495</v>
      </c>
      <c r="D97" s="10" t="s">
        <v>498</v>
      </c>
      <c r="E97" s="10" t="s">
        <v>499</v>
      </c>
      <c r="F97" s="10" t="n">
        <v>1</v>
      </c>
      <c r="G97" s="10" t="s">
        <v>327</v>
      </c>
    </row>
    <row r="98" customFormat="false" ht="15" hidden="false" customHeight="false" outlineLevel="0" collapsed="false">
      <c r="A98" s="9"/>
      <c r="B98" s="10" t="s">
        <v>494</v>
      </c>
      <c r="C98" s="10" t="s">
        <v>495</v>
      </c>
      <c r="D98" s="10" t="s">
        <v>500</v>
      </c>
      <c r="E98" s="10" t="s">
        <v>500</v>
      </c>
      <c r="F98" s="10" t="n">
        <v>1</v>
      </c>
      <c r="G98" s="10" t="s">
        <v>327</v>
      </c>
    </row>
    <row r="99" customFormat="false" ht="23.85" hidden="false" customHeight="false" outlineLevel="0" collapsed="false">
      <c r="A99" s="7" t="s">
        <v>289</v>
      </c>
      <c r="B99" s="8" t="s">
        <v>278</v>
      </c>
      <c r="C99" s="8" t="s">
        <v>343</v>
      </c>
      <c r="D99" s="8" t="s">
        <v>325</v>
      </c>
      <c r="E99" s="8" t="s">
        <v>501</v>
      </c>
      <c r="F99" s="8" t="n">
        <v>3</v>
      </c>
      <c r="G99" s="8" t="s">
        <v>327</v>
      </c>
    </row>
    <row r="100" customFormat="false" ht="35.05" hidden="false" customHeight="false" outlineLevel="0" collapsed="false">
      <c r="A100" s="9"/>
      <c r="B100" s="10" t="s">
        <v>502</v>
      </c>
      <c r="C100" s="10" t="s">
        <v>503</v>
      </c>
      <c r="D100" s="10" t="s">
        <v>325</v>
      </c>
      <c r="E100" s="10" t="s">
        <v>504</v>
      </c>
      <c r="F100" s="10" t="n">
        <v>1</v>
      </c>
      <c r="G100" s="10" t="s">
        <v>327</v>
      </c>
    </row>
    <row r="101" customFormat="false" ht="15" hidden="false" customHeight="false" outlineLevel="0" collapsed="false">
      <c r="A101" s="7" t="s">
        <v>301</v>
      </c>
      <c r="B101" s="8" t="s">
        <v>86</v>
      </c>
      <c r="C101" s="8" t="s">
        <v>382</v>
      </c>
      <c r="D101" s="8" t="s">
        <v>325</v>
      </c>
      <c r="E101" s="8" t="s">
        <v>505</v>
      </c>
      <c r="F101" s="8" t="n">
        <v>1</v>
      </c>
      <c r="G101" s="8" t="s">
        <v>327</v>
      </c>
    </row>
    <row r="102" customFormat="false" ht="23.85" hidden="false" customHeight="false" outlineLevel="0" collapsed="false">
      <c r="A102" s="9"/>
      <c r="B102" s="10" t="s">
        <v>194</v>
      </c>
      <c r="C102" s="10" t="s">
        <v>365</v>
      </c>
      <c r="D102" s="10" t="s">
        <v>325</v>
      </c>
      <c r="E102" s="10" t="s">
        <v>506</v>
      </c>
      <c r="F102" s="10" t="n">
        <v>2</v>
      </c>
      <c r="G102" s="10" t="s">
        <v>327</v>
      </c>
    </row>
    <row r="103" customFormat="false" ht="35.05" hidden="false" customHeight="false" outlineLevel="0" collapsed="false">
      <c r="A103" s="7" t="s">
        <v>314</v>
      </c>
      <c r="B103" s="8" t="s">
        <v>226</v>
      </c>
      <c r="C103" s="8" t="s">
        <v>507</v>
      </c>
      <c r="D103" s="8" t="s">
        <v>325</v>
      </c>
      <c r="E103" s="8" t="s">
        <v>508</v>
      </c>
      <c r="F103" s="8" t="n">
        <v>3</v>
      </c>
      <c r="G103" s="8" t="s">
        <v>327</v>
      </c>
    </row>
    <row r="104" customFormat="false" ht="15" hidden="false" customHeight="false" outlineLevel="0" collapsed="false">
      <c r="A104" s="9"/>
      <c r="B104" s="10" t="s">
        <v>509</v>
      </c>
      <c r="C104" s="10" t="s">
        <v>510</v>
      </c>
      <c r="D104" s="10" t="s">
        <v>325</v>
      </c>
      <c r="E104" s="10" t="s">
        <v>511</v>
      </c>
      <c r="F104" s="10" t="n">
        <v>1</v>
      </c>
      <c r="G104" s="10" t="s">
        <v>327</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18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6"/>
    <col collapsed="false" customWidth="true" hidden="false" outlineLevel="0" max="2" min="2" style="0" width="32"/>
    <col collapsed="false" customWidth="true" hidden="false" outlineLevel="0" max="3" min="3" style="0" width="26"/>
    <col collapsed="false" customWidth="true" hidden="false" outlineLevel="0" max="4" min="4" style="0" width="34"/>
    <col collapsed="false" customWidth="true" hidden="false" outlineLevel="0" max="5" min="5" style="0" width="10"/>
    <col collapsed="false" customWidth="true" hidden="false" outlineLevel="0" max="6" min="6" style="0" width="8"/>
    <col collapsed="false" customWidth="true" hidden="false" outlineLevel="0" max="7" min="7" style="0" width="30"/>
    <col collapsed="false" customWidth="true" hidden="false" outlineLevel="0" max="8" min="8" style="0" width="44"/>
    <col collapsed="false" customWidth="true" hidden="false" outlineLevel="0" max="9" min="9" style="0" width="11"/>
    <col collapsed="false" customWidth="true" hidden="false" outlineLevel="0" max="10" min="10" style="0" width="10"/>
    <col collapsed="false" customWidth="true" hidden="false" outlineLevel="0" max="11" min="11" style="0" width="70"/>
  </cols>
  <sheetData>
    <row r="1" customFormat="false" ht="57.45" hidden="false" customHeight="false" outlineLevel="0" collapsed="false">
      <c r="A1" s="3" t="s">
        <v>2</v>
      </c>
      <c r="B1" s="3" t="s">
        <v>3</v>
      </c>
      <c r="C1" s="3" t="s">
        <v>512</v>
      </c>
      <c r="D1" s="3" t="s">
        <v>319</v>
      </c>
      <c r="E1" s="3" t="s">
        <v>513</v>
      </c>
      <c r="F1" s="3" t="s">
        <v>317</v>
      </c>
      <c r="G1" s="3" t="s">
        <v>318</v>
      </c>
      <c r="H1" s="3" t="s">
        <v>514</v>
      </c>
      <c r="I1" s="3" t="s">
        <v>515</v>
      </c>
      <c r="J1" s="3" t="s">
        <v>322</v>
      </c>
      <c r="K1" s="3" t="s">
        <v>516</v>
      </c>
    </row>
    <row r="2" customFormat="false" ht="23.85" hidden="false" customHeight="false" outlineLevel="0" collapsed="false">
      <c r="A2" s="11" t="s">
        <v>11</v>
      </c>
      <c r="B2" s="9" t="s">
        <v>12</v>
      </c>
      <c r="C2" s="10" t="s">
        <v>13</v>
      </c>
      <c r="D2" s="10" t="s">
        <v>325</v>
      </c>
      <c r="E2" s="11" t="s">
        <v>517</v>
      </c>
      <c r="F2" s="11" t="s">
        <v>14</v>
      </c>
      <c r="G2" s="10" t="s">
        <v>395</v>
      </c>
      <c r="H2" s="10" t="s">
        <v>518</v>
      </c>
      <c r="I2" s="11" t="n">
        <v>1</v>
      </c>
      <c r="J2" s="11" t="str">
        <f aca="false">IF(I2&gt;=4,"Completo","Parcial")</f>
        <v>Parcial</v>
      </c>
      <c r="K2" s="10" t="s">
        <v>519</v>
      </c>
    </row>
    <row r="3" customFormat="false" ht="35.05" hidden="false" customHeight="false" outlineLevel="0" collapsed="false">
      <c r="A3" s="11" t="s">
        <v>11</v>
      </c>
      <c r="B3" s="9" t="s">
        <v>16</v>
      </c>
      <c r="C3" s="10" t="s">
        <v>17</v>
      </c>
      <c r="D3" s="10" t="s">
        <v>325</v>
      </c>
      <c r="E3" s="11" t="s">
        <v>517</v>
      </c>
      <c r="F3" s="11" t="s">
        <v>18</v>
      </c>
      <c r="G3" s="10" t="s">
        <v>328</v>
      </c>
      <c r="H3" s="10" t="s">
        <v>520</v>
      </c>
      <c r="I3" s="11" t="n">
        <v>2</v>
      </c>
      <c r="J3" s="11" t="str">
        <f aca="false">IF(I3&gt;=4,"Completo","Parcial")</f>
        <v>Parcial</v>
      </c>
      <c r="K3" s="10" t="s">
        <v>521</v>
      </c>
    </row>
    <row r="4" customFormat="false" ht="35.05" hidden="false" customHeight="false" outlineLevel="0" collapsed="false">
      <c r="A4" s="11" t="s">
        <v>11</v>
      </c>
      <c r="B4" s="9" t="s">
        <v>19</v>
      </c>
      <c r="C4" s="10" t="s">
        <v>20</v>
      </c>
      <c r="D4" s="10" t="s">
        <v>325</v>
      </c>
      <c r="E4" s="11" t="s">
        <v>517</v>
      </c>
      <c r="F4" s="11" t="s">
        <v>323</v>
      </c>
      <c r="G4" s="10" t="s">
        <v>324</v>
      </c>
      <c r="H4" s="10" t="s">
        <v>326</v>
      </c>
      <c r="I4" s="11" t="n">
        <v>1</v>
      </c>
      <c r="J4" s="11" t="str">
        <f aca="false">IF(I4&gt;=4,"Completo","Parcial")</f>
        <v>Parcial</v>
      </c>
      <c r="K4" s="10" t="s">
        <v>522</v>
      </c>
    </row>
    <row r="5" customFormat="false" ht="35.05" hidden="false" customHeight="false" outlineLevel="0" collapsed="false">
      <c r="A5" s="11" t="s">
        <v>11</v>
      </c>
      <c r="B5" s="9" t="s">
        <v>19</v>
      </c>
      <c r="C5" s="10" t="s">
        <v>20</v>
      </c>
      <c r="D5" s="10" t="s">
        <v>325</v>
      </c>
      <c r="E5" s="11" t="s">
        <v>517</v>
      </c>
      <c r="F5" s="11" t="s">
        <v>18</v>
      </c>
      <c r="G5" s="10" t="s">
        <v>328</v>
      </c>
      <c r="H5" s="10" t="s">
        <v>329</v>
      </c>
      <c r="I5" s="11" t="n">
        <v>4</v>
      </c>
      <c r="J5" s="11" t="str">
        <f aca="false">IF(I5&gt;=4,"Completo","Parcial")</f>
        <v>Completo</v>
      </c>
      <c r="K5" s="10" t="s">
        <v>523</v>
      </c>
    </row>
    <row r="6" customFormat="false" ht="35.05" hidden="false" customHeight="false" outlineLevel="0" collapsed="false">
      <c r="A6" s="11" t="s">
        <v>11</v>
      </c>
      <c r="B6" s="9" t="s">
        <v>19</v>
      </c>
      <c r="C6" s="10" t="s">
        <v>20</v>
      </c>
      <c r="D6" s="10" t="s">
        <v>331</v>
      </c>
      <c r="E6" s="11" t="s">
        <v>524</v>
      </c>
      <c r="F6" s="11" t="s">
        <v>18</v>
      </c>
      <c r="G6" s="10" t="s">
        <v>328</v>
      </c>
      <c r="H6" s="10" t="s">
        <v>332</v>
      </c>
      <c r="I6" s="11" t="n">
        <v>4</v>
      </c>
      <c r="J6" s="11" t="str">
        <f aca="false">IF(I6&gt;=4,"Completo","Parcial")</f>
        <v>Completo</v>
      </c>
      <c r="K6" s="10" t="s">
        <v>525</v>
      </c>
    </row>
    <row r="7" customFormat="false" ht="79.85" hidden="false" customHeight="false" outlineLevel="0" collapsed="false">
      <c r="A7" s="11" t="s">
        <v>11</v>
      </c>
      <c r="B7" s="9" t="s">
        <v>23</v>
      </c>
      <c r="C7" s="10" t="s">
        <v>24</v>
      </c>
      <c r="D7" s="10" t="s">
        <v>334</v>
      </c>
      <c r="E7" s="11" t="s">
        <v>524</v>
      </c>
      <c r="F7" s="11" t="s">
        <v>35</v>
      </c>
      <c r="G7" s="10" t="s">
        <v>333</v>
      </c>
      <c r="H7" s="10" t="s">
        <v>335</v>
      </c>
      <c r="I7" s="11" t="n">
        <v>9</v>
      </c>
      <c r="J7" s="11" t="str">
        <f aca="false">IF(I7&gt;=4,"Completo","Parcial")</f>
        <v>Completo</v>
      </c>
      <c r="K7" s="10" t="s">
        <v>526</v>
      </c>
    </row>
    <row r="8" customFormat="false" ht="35.05" hidden="false" customHeight="false" outlineLevel="0" collapsed="false">
      <c r="A8" s="11" t="s">
        <v>11</v>
      </c>
      <c r="B8" s="9" t="s">
        <v>23</v>
      </c>
      <c r="C8" s="10" t="s">
        <v>24</v>
      </c>
      <c r="D8" s="10" t="s">
        <v>334</v>
      </c>
      <c r="E8" s="11" t="s">
        <v>524</v>
      </c>
      <c r="F8" s="11" t="s">
        <v>176</v>
      </c>
      <c r="G8" s="10" t="s">
        <v>336</v>
      </c>
      <c r="H8" s="10" t="s">
        <v>337</v>
      </c>
      <c r="I8" s="11" t="n">
        <v>3</v>
      </c>
      <c r="J8" s="11" t="str">
        <f aca="false">IF(I8&gt;=4,"Completo","Parcial")</f>
        <v>Parcial</v>
      </c>
      <c r="K8" s="10" t="s">
        <v>527</v>
      </c>
    </row>
    <row r="9" customFormat="false" ht="35.05" hidden="false" customHeight="false" outlineLevel="0" collapsed="false">
      <c r="A9" s="11" t="s">
        <v>11</v>
      </c>
      <c r="B9" s="9" t="s">
        <v>27</v>
      </c>
      <c r="C9" s="10" t="s">
        <v>28</v>
      </c>
      <c r="D9" s="10" t="s">
        <v>325</v>
      </c>
      <c r="E9" s="11" t="s">
        <v>517</v>
      </c>
      <c r="F9" s="11" t="s">
        <v>29</v>
      </c>
      <c r="G9" s="10" t="s">
        <v>528</v>
      </c>
      <c r="H9" s="10" t="s">
        <v>529</v>
      </c>
      <c r="I9" s="11" t="n">
        <v>2</v>
      </c>
      <c r="J9" s="11" t="str">
        <f aca="false">IF(I9&gt;=4,"Completo","Parcial")</f>
        <v>Parcial</v>
      </c>
      <c r="K9" s="10" t="s">
        <v>530</v>
      </c>
    </row>
    <row r="10" customFormat="false" ht="35.05" hidden="false" customHeight="false" outlineLevel="0" collapsed="false">
      <c r="A10" s="11" t="s">
        <v>11</v>
      </c>
      <c r="B10" s="9" t="s">
        <v>27</v>
      </c>
      <c r="C10" s="10" t="s">
        <v>28</v>
      </c>
      <c r="D10" s="10" t="s">
        <v>531</v>
      </c>
      <c r="E10" s="11" t="s">
        <v>524</v>
      </c>
      <c r="F10" s="11" t="s">
        <v>29</v>
      </c>
      <c r="G10" s="10" t="s">
        <v>528</v>
      </c>
      <c r="H10" s="10" t="s">
        <v>532</v>
      </c>
      <c r="I10" s="11" t="n">
        <v>8</v>
      </c>
      <c r="J10" s="11" t="str">
        <f aca="false">IF(I10&gt;=4,"Completo","Parcial")</f>
        <v>Completo</v>
      </c>
      <c r="K10" s="10" t="s">
        <v>533</v>
      </c>
    </row>
    <row r="11" customFormat="false" ht="35.05" hidden="false" customHeight="false" outlineLevel="0" collapsed="false">
      <c r="A11" s="11" t="s">
        <v>11</v>
      </c>
      <c r="B11" s="9" t="s">
        <v>31</v>
      </c>
      <c r="C11" s="10" t="s">
        <v>32</v>
      </c>
      <c r="D11" s="10" t="s">
        <v>325</v>
      </c>
      <c r="E11" s="11" t="s">
        <v>517</v>
      </c>
      <c r="F11" s="11" t="s">
        <v>29</v>
      </c>
      <c r="G11" s="10" t="s">
        <v>528</v>
      </c>
      <c r="H11" s="10" t="s">
        <v>534</v>
      </c>
      <c r="I11" s="11" t="n">
        <v>1</v>
      </c>
      <c r="J11" s="11" t="str">
        <f aca="false">IF(I11&gt;=4,"Completo","Parcial")</f>
        <v>Parcial</v>
      </c>
      <c r="K11" s="10" t="s">
        <v>535</v>
      </c>
    </row>
    <row r="12" customFormat="false" ht="35.05" hidden="false" customHeight="false" outlineLevel="0" collapsed="false">
      <c r="A12" s="11" t="s">
        <v>11</v>
      </c>
      <c r="B12" s="9" t="s">
        <v>33</v>
      </c>
      <c r="C12" s="10" t="s">
        <v>34</v>
      </c>
      <c r="D12" s="10" t="s">
        <v>325</v>
      </c>
      <c r="E12" s="11" t="s">
        <v>517</v>
      </c>
      <c r="F12" s="11" t="s">
        <v>35</v>
      </c>
      <c r="G12" s="10" t="s">
        <v>333</v>
      </c>
      <c r="H12" s="10" t="s">
        <v>536</v>
      </c>
      <c r="I12" s="11" t="n">
        <v>3</v>
      </c>
      <c r="J12" s="11" t="str">
        <f aca="false">IF(I12&gt;=4,"Completo","Parcial")</f>
        <v>Parcial</v>
      </c>
      <c r="K12" s="10" t="s">
        <v>537</v>
      </c>
    </row>
    <row r="13" customFormat="false" ht="23.85" hidden="false" customHeight="false" outlineLevel="0" collapsed="false">
      <c r="A13" s="11" t="s">
        <v>11</v>
      </c>
      <c r="B13" s="9" t="s">
        <v>33</v>
      </c>
      <c r="C13" s="10" t="s">
        <v>34</v>
      </c>
      <c r="D13" s="10" t="s">
        <v>538</v>
      </c>
      <c r="E13" s="11" t="s">
        <v>524</v>
      </c>
      <c r="F13" s="11" t="s">
        <v>35</v>
      </c>
      <c r="G13" s="10" t="s">
        <v>333</v>
      </c>
      <c r="H13" s="10" t="s">
        <v>539</v>
      </c>
      <c r="I13" s="11" t="n">
        <v>1</v>
      </c>
      <c r="J13" s="11" t="str">
        <f aca="false">IF(I13&gt;=4,"Completo","Parcial")</f>
        <v>Parcial</v>
      </c>
      <c r="K13" s="10" t="s">
        <v>540</v>
      </c>
    </row>
    <row r="14" customFormat="false" ht="35.05" hidden="false" customHeight="false" outlineLevel="0" collapsed="false">
      <c r="A14" s="11" t="s">
        <v>11</v>
      </c>
      <c r="B14" s="9" t="s">
        <v>37</v>
      </c>
      <c r="C14" s="10" t="s">
        <v>38</v>
      </c>
      <c r="D14" s="10" t="s">
        <v>325</v>
      </c>
      <c r="E14" s="11" t="s">
        <v>517</v>
      </c>
      <c r="F14" s="11" t="s">
        <v>39</v>
      </c>
      <c r="G14" s="10" t="s">
        <v>338</v>
      </c>
      <c r="H14" s="10" t="s">
        <v>541</v>
      </c>
      <c r="I14" s="11" t="n">
        <v>5</v>
      </c>
      <c r="J14" s="11" t="str">
        <f aca="false">IF(I14&gt;=4,"Completo","Parcial")</f>
        <v>Completo</v>
      </c>
      <c r="K14" s="10" t="s">
        <v>542</v>
      </c>
    </row>
    <row r="15" customFormat="false" ht="23.85" hidden="false" customHeight="false" outlineLevel="0" collapsed="false">
      <c r="A15" s="11" t="s">
        <v>11</v>
      </c>
      <c r="B15" s="9" t="s">
        <v>37</v>
      </c>
      <c r="C15" s="10" t="s">
        <v>38</v>
      </c>
      <c r="D15" s="10" t="s">
        <v>543</v>
      </c>
      <c r="E15" s="11" t="s">
        <v>524</v>
      </c>
      <c r="F15" s="11" t="s">
        <v>39</v>
      </c>
      <c r="G15" s="10" t="s">
        <v>338</v>
      </c>
      <c r="H15" s="10" t="s">
        <v>544</v>
      </c>
      <c r="I15" s="11" t="n">
        <v>3</v>
      </c>
      <c r="J15" s="11" t="str">
        <f aca="false">IF(I15&gt;=4,"Completo","Parcial")</f>
        <v>Parcial</v>
      </c>
      <c r="K15" s="10" t="s">
        <v>545</v>
      </c>
    </row>
    <row r="16" customFormat="false" ht="35.05" hidden="false" customHeight="false" outlineLevel="0" collapsed="false">
      <c r="A16" s="11" t="s">
        <v>11</v>
      </c>
      <c r="B16" s="9" t="s">
        <v>41</v>
      </c>
      <c r="C16" s="10" t="s">
        <v>42</v>
      </c>
      <c r="D16" s="10" t="s">
        <v>546</v>
      </c>
      <c r="E16" s="11" t="s">
        <v>524</v>
      </c>
      <c r="F16" s="11" t="s">
        <v>39</v>
      </c>
      <c r="G16" s="10" t="s">
        <v>338</v>
      </c>
      <c r="H16" s="10" t="s">
        <v>547</v>
      </c>
      <c r="I16" s="11" t="n">
        <v>1</v>
      </c>
      <c r="J16" s="11" t="str">
        <f aca="false">IF(I16&gt;=4,"Completo","Parcial")</f>
        <v>Parcial</v>
      </c>
      <c r="K16" s="10" t="s">
        <v>548</v>
      </c>
    </row>
    <row r="17" customFormat="false" ht="23.85" hidden="false" customHeight="false" outlineLevel="0" collapsed="false">
      <c r="A17" s="11" t="s">
        <v>11</v>
      </c>
      <c r="B17" s="9" t="s">
        <v>44</v>
      </c>
      <c r="C17" s="10" t="s">
        <v>45</v>
      </c>
      <c r="D17" s="10" t="s">
        <v>325</v>
      </c>
      <c r="E17" s="11" t="s">
        <v>517</v>
      </c>
      <c r="F17" s="11" t="s">
        <v>39</v>
      </c>
      <c r="G17" s="10" t="s">
        <v>338</v>
      </c>
      <c r="H17" s="10" t="s">
        <v>339</v>
      </c>
      <c r="I17" s="11" t="n">
        <v>2</v>
      </c>
      <c r="J17" s="11" t="str">
        <f aca="false">IF(I17&gt;=4,"Completo","Parcial")</f>
        <v>Parcial</v>
      </c>
      <c r="K17" s="10" t="s">
        <v>549</v>
      </c>
    </row>
    <row r="18" customFormat="false" ht="35.05" hidden="false" customHeight="false" outlineLevel="0" collapsed="false">
      <c r="A18" s="11" t="s">
        <v>11</v>
      </c>
      <c r="B18" s="9" t="s">
        <v>44</v>
      </c>
      <c r="C18" s="10" t="s">
        <v>45</v>
      </c>
      <c r="D18" s="10" t="s">
        <v>341</v>
      </c>
      <c r="E18" s="11" t="s">
        <v>524</v>
      </c>
      <c r="F18" s="11" t="s">
        <v>233</v>
      </c>
      <c r="G18" s="10" t="s">
        <v>340</v>
      </c>
      <c r="H18" s="10" t="s">
        <v>342</v>
      </c>
      <c r="I18" s="11" t="n">
        <v>1</v>
      </c>
      <c r="J18" s="11" t="str">
        <f aca="false">IF(I18&gt;=4,"Completo","Parcial")</f>
        <v>Parcial</v>
      </c>
      <c r="K18" s="10" t="s">
        <v>550</v>
      </c>
    </row>
    <row r="19" customFormat="false" ht="23.85" hidden="false" customHeight="false" outlineLevel="0" collapsed="false">
      <c r="A19" s="11" t="s">
        <v>11</v>
      </c>
      <c r="B19" s="9" t="s">
        <v>47</v>
      </c>
      <c r="C19" s="10" t="s">
        <v>48</v>
      </c>
      <c r="D19" s="10" t="s">
        <v>325</v>
      </c>
      <c r="E19" s="11" t="s">
        <v>517</v>
      </c>
      <c r="F19" s="11" t="s">
        <v>278</v>
      </c>
      <c r="G19" s="10" t="s">
        <v>343</v>
      </c>
      <c r="H19" s="10" t="s">
        <v>344</v>
      </c>
      <c r="I19" s="11" t="n">
        <v>2</v>
      </c>
      <c r="J19" s="11" t="str">
        <f aca="false">IF(I19&gt;=4,"Completo","Parcial")</f>
        <v>Parcial</v>
      </c>
      <c r="K19" s="10" t="s">
        <v>551</v>
      </c>
    </row>
    <row r="20" customFormat="false" ht="57.45" hidden="false" customHeight="false" outlineLevel="0" collapsed="false">
      <c r="A20" s="11" t="s">
        <v>11</v>
      </c>
      <c r="B20" s="9" t="s">
        <v>47</v>
      </c>
      <c r="C20" s="10" t="s">
        <v>48</v>
      </c>
      <c r="D20" s="10" t="s">
        <v>325</v>
      </c>
      <c r="E20" s="11" t="s">
        <v>517</v>
      </c>
      <c r="F20" s="11" t="s">
        <v>345</v>
      </c>
      <c r="G20" s="10" t="s">
        <v>346</v>
      </c>
      <c r="H20" s="10" t="s">
        <v>347</v>
      </c>
      <c r="I20" s="11" t="n">
        <v>9</v>
      </c>
      <c r="J20" s="11" t="str">
        <f aca="false">IF(I20&gt;=4,"Completo","Parcial")</f>
        <v>Completo</v>
      </c>
      <c r="K20" s="10" t="s">
        <v>552</v>
      </c>
    </row>
    <row r="21" customFormat="false" ht="35.05" hidden="false" customHeight="false" outlineLevel="0" collapsed="false">
      <c r="A21" s="11" t="s">
        <v>11</v>
      </c>
      <c r="B21" s="9" t="s">
        <v>47</v>
      </c>
      <c r="C21" s="10" t="s">
        <v>48</v>
      </c>
      <c r="D21" s="10" t="s">
        <v>348</v>
      </c>
      <c r="E21" s="11" t="s">
        <v>524</v>
      </c>
      <c r="F21" s="11" t="s">
        <v>345</v>
      </c>
      <c r="G21" s="10" t="s">
        <v>346</v>
      </c>
      <c r="H21" s="10" t="s">
        <v>349</v>
      </c>
      <c r="I21" s="11" t="n">
        <v>4</v>
      </c>
      <c r="J21" s="11" t="str">
        <f aca="false">IF(I21&gt;=4,"Completo","Parcial")</f>
        <v>Completo</v>
      </c>
      <c r="K21" s="10" t="s">
        <v>553</v>
      </c>
    </row>
    <row r="22" customFormat="false" ht="35.05" hidden="false" customHeight="false" outlineLevel="0" collapsed="false">
      <c r="A22" s="11" t="s">
        <v>11</v>
      </c>
      <c r="B22" s="9" t="s">
        <v>51</v>
      </c>
      <c r="C22" s="10" t="s">
        <v>52</v>
      </c>
      <c r="D22" s="10" t="s">
        <v>325</v>
      </c>
      <c r="E22" s="11" t="s">
        <v>517</v>
      </c>
      <c r="F22" s="11" t="s">
        <v>53</v>
      </c>
      <c r="G22" s="10" t="s">
        <v>554</v>
      </c>
      <c r="H22" s="10" t="s">
        <v>555</v>
      </c>
      <c r="I22" s="11" t="n">
        <v>3</v>
      </c>
      <c r="J22" s="11" t="str">
        <f aca="false">IF(I22&gt;=4,"Completo","Parcial")</f>
        <v>Parcial</v>
      </c>
      <c r="K22" s="10" t="s">
        <v>556</v>
      </c>
    </row>
    <row r="23" customFormat="false" ht="46.25" hidden="false" customHeight="false" outlineLevel="0" collapsed="false">
      <c r="A23" s="11" t="s">
        <v>11</v>
      </c>
      <c r="B23" s="9" t="s">
        <v>54</v>
      </c>
      <c r="C23" s="10" t="s">
        <v>55</v>
      </c>
      <c r="D23" s="10" t="s">
        <v>325</v>
      </c>
      <c r="E23" s="11" t="s">
        <v>517</v>
      </c>
      <c r="F23" s="11" t="s">
        <v>56</v>
      </c>
      <c r="G23" s="10" t="s">
        <v>557</v>
      </c>
      <c r="H23" s="10" t="s">
        <v>558</v>
      </c>
      <c r="I23" s="11" t="n">
        <v>1</v>
      </c>
      <c r="J23" s="11" t="str">
        <f aca="false">IF(I23&gt;=4,"Completo","Parcial")</f>
        <v>Parcial</v>
      </c>
      <c r="K23" s="10" t="s">
        <v>559</v>
      </c>
    </row>
    <row r="24" customFormat="false" ht="35.05" hidden="false" customHeight="false" outlineLevel="0" collapsed="false">
      <c r="A24" s="11" t="s">
        <v>11</v>
      </c>
      <c r="B24" s="9" t="s">
        <v>57</v>
      </c>
      <c r="C24" s="10" t="s">
        <v>58</v>
      </c>
      <c r="D24" s="10" t="s">
        <v>325</v>
      </c>
      <c r="E24" s="11" t="s">
        <v>517</v>
      </c>
      <c r="F24" s="11" t="s">
        <v>56</v>
      </c>
      <c r="G24" s="10" t="s">
        <v>557</v>
      </c>
      <c r="H24" s="10" t="s">
        <v>560</v>
      </c>
      <c r="I24" s="11" t="n">
        <v>2</v>
      </c>
      <c r="J24" s="11" t="str">
        <f aca="false">IF(I24&gt;=4,"Completo","Parcial")</f>
        <v>Parcial</v>
      </c>
      <c r="K24" s="10" t="s">
        <v>561</v>
      </c>
    </row>
    <row r="25" customFormat="false" ht="35.05" hidden="false" customHeight="false" outlineLevel="0" collapsed="false">
      <c r="A25" s="11" t="s">
        <v>59</v>
      </c>
      <c r="B25" s="9" t="s">
        <v>60</v>
      </c>
      <c r="C25" s="10" t="s">
        <v>61</v>
      </c>
      <c r="D25" s="10" t="s">
        <v>325</v>
      </c>
      <c r="E25" s="11" t="s">
        <v>517</v>
      </c>
      <c r="F25" s="11" t="s">
        <v>62</v>
      </c>
      <c r="G25" s="10" t="s">
        <v>352</v>
      </c>
      <c r="H25" s="10" t="s">
        <v>562</v>
      </c>
      <c r="I25" s="11" t="n">
        <v>2</v>
      </c>
      <c r="J25" s="11" t="str">
        <f aca="false">IF(I25&gt;=4,"Completo","Parcial")</f>
        <v>Parcial</v>
      </c>
      <c r="K25" s="10" t="s">
        <v>563</v>
      </c>
    </row>
    <row r="26" customFormat="false" ht="35.05" hidden="false" customHeight="false" outlineLevel="0" collapsed="false">
      <c r="A26" s="11" t="s">
        <v>63</v>
      </c>
      <c r="B26" s="9" t="s">
        <v>64</v>
      </c>
      <c r="C26" s="10" t="s">
        <v>65</v>
      </c>
      <c r="D26" s="10" t="s">
        <v>325</v>
      </c>
      <c r="E26" s="11" t="s">
        <v>517</v>
      </c>
      <c r="F26" s="11" t="s">
        <v>66</v>
      </c>
      <c r="G26" s="10" t="s">
        <v>350</v>
      </c>
      <c r="H26" s="10" t="s">
        <v>351</v>
      </c>
      <c r="I26" s="11" t="n">
        <v>5</v>
      </c>
      <c r="J26" s="11" t="str">
        <f aca="false">IF(I26&gt;=4,"Completo","Parcial")</f>
        <v>Completo</v>
      </c>
      <c r="K26" s="10" t="s">
        <v>564</v>
      </c>
    </row>
    <row r="27" customFormat="false" ht="35.05" hidden="false" customHeight="false" outlineLevel="0" collapsed="false">
      <c r="A27" s="11" t="s">
        <v>63</v>
      </c>
      <c r="B27" s="9" t="s">
        <v>64</v>
      </c>
      <c r="C27" s="10" t="s">
        <v>65</v>
      </c>
      <c r="D27" s="10" t="s">
        <v>353</v>
      </c>
      <c r="E27" s="11" t="s">
        <v>524</v>
      </c>
      <c r="F27" s="11" t="s">
        <v>62</v>
      </c>
      <c r="G27" s="10" t="s">
        <v>352</v>
      </c>
      <c r="H27" s="10" t="s">
        <v>354</v>
      </c>
      <c r="I27" s="11" t="n">
        <v>1</v>
      </c>
      <c r="J27" s="11" t="str">
        <f aca="false">IF(I27&gt;=4,"Completo","Parcial")</f>
        <v>Parcial</v>
      </c>
      <c r="K27" s="10" t="s">
        <v>565</v>
      </c>
    </row>
    <row r="28" customFormat="false" ht="35.05" hidden="false" customHeight="false" outlineLevel="0" collapsed="false">
      <c r="A28" s="11" t="s">
        <v>63</v>
      </c>
      <c r="B28" s="9" t="s">
        <v>68</v>
      </c>
      <c r="C28" s="10" t="s">
        <v>69</v>
      </c>
      <c r="D28" s="10" t="s">
        <v>325</v>
      </c>
      <c r="E28" s="11" t="s">
        <v>517</v>
      </c>
      <c r="F28" s="11" t="s">
        <v>66</v>
      </c>
      <c r="G28" s="10" t="s">
        <v>350</v>
      </c>
      <c r="H28" s="10" t="s">
        <v>355</v>
      </c>
      <c r="I28" s="11" t="n">
        <v>1</v>
      </c>
      <c r="J28" s="11" t="str">
        <f aca="false">IF(I28&gt;=4,"Completo","Parcial")</f>
        <v>Parcial</v>
      </c>
      <c r="K28" s="10" t="s">
        <v>566</v>
      </c>
    </row>
    <row r="29" customFormat="false" ht="23.85" hidden="false" customHeight="false" outlineLevel="0" collapsed="false">
      <c r="A29" s="11" t="s">
        <v>63</v>
      </c>
      <c r="B29" s="9" t="s">
        <v>68</v>
      </c>
      <c r="C29" s="10" t="s">
        <v>69</v>
      </c>
      <c r="D29" s="10" t="s">
        <v>358</v>
      </c>
      <c r="E29" s="11" t="s">
        <v>524</v>
      </c>
      <c r="F29" s="11" t="s">
        <v>356</v>
      </c>
      <c r="G29" s="10" t="s">
        <v>357</v>
      </c>
      <c r="H29" s="10" t="s">
        <v>359</v>
      </c>
      <c r="I29" s="11" t="n">
        <v>1</v>
      </c>
      <c r="J29" s="11" t="str">
        <f aca="false">IF(I29&gt;=4,"Completo","Parcial")</f>
        <v>Parcial</v>
      </c>
      <c r="K29" s="10" t="s">
        <v>567</v>
      </c>
    </row>
    <row r="30" customFormat="false" ht="35.05" hidden="false" customHeight="false" outlineLevel="0" collapsed="false">
      <c r="A30" s="11" t="s">
        <v>63</v>
      </c>
      <c r="B30" s="9" t="s">
        <v>71</v>
      </c>
      <c r="C30" s="10" t="s">
        <v>72</v>
      </c>
      <c r="D30" s="10" t="s">
        <v>325</v>
      </c>
      <c r="E30" s="11" t="s">
        <v>517</v>
      </c>
      <c r="F30" s="11" t="s">
        <v>73</v>
      </c>
      <c r="G30" s="10" t="s">
        <v>379</v>
      </c>
      <c r="H30" s="10" t="s">
        <v>568</v>
      </c>
      <c r="I30" s="11" t="n">
        <v>1</v>
      </c>
      <c r="J30" s="11" t="str">
        <f aca="false">IF(I30&gt;=4,"Completo","Parcial")</f>
        <v>Parcial</v>
      </c>
      <c r="K30" s="10" t="s">
        <v>569</v>
      </c>
    </row>
    <row r="31" customFormat="false" ht="35.05" hidden="false" customHeight="false" outlineLevel="0" collapsed="false">
      <c r="A31" s="11" t="s">
        <v>63</v>
      </c>
      <c r="B31" s="9" t="s">
        <v>71</v>
      </c>
      <c r="C31" s="10" t="s">
        <v>72</v>
      </c>
      <c r="D31" s="10" t="s">
        <v>570</v>
      </c>
      <c r="E31" s="11" t="s">
        <v>524</v>
      </c>
      <c r="F31" s="11" t="s">
        <v>73</v>
      </c>
      <c r="G31" s="10" t="s">
        <v>379</v>
      </c>
      <c r="H31" s="10" t="s">
        <v>571</v>
      </c>
      <c r="I31" s="11" t="n">
        <v>1</v>
      </c>
      <c r="J31" s="11" t="str">
        <f aca="false">IF(I31&gt;=4,"Completo","Parcial")</f>
        <v>Parcial</v>
      </c>
      <c r="K31" s="10" t="s">
        <v>572</v>
      </c>
    </row>
    <row r="32" customFormat="false" ht="35.05" hidden="false" customHeight="false" outlineLevel="0" collapsed="false">
      <c r="A32" s="11" t="s">
        <v>75</v>
      </c>
      <c r="B32" s="9" t="s">
        <v>76</v>
      </c>
      <c r="C32" s="10" t="s">
        <v>77</v>
      </c>
      <c r="D32" s="10" t="s">
        <v>325</v>
      </c>
      <c r="E32" s="11" t="s">
        <v>517</v>
      </c>
      <c r="F32" s="11" t="s">
        <v>129</v>
      </c>
      <c r="G32" s="10" t="s">
        <v>360</v>
      </c>
      <c r="H32" s="10" t="s">
        <v>361</v>
      </c>
      <c r="I32" s="11" t="n">
        <v>1</v>
      </c>
      <c r="J32" s="11" t="str">
        <f aca="false">IF(I32&gt;=4,"Completo","Parcial")</f>
        <v>Parcial</v>
      </c>
      <c r="K32" s="10" t="s">
        <v>573</v>
      </c>
    </row>
    <row r="33" customFormat="false" ht="35.05" hidden="false" customHeight="false" outlineLevel="0" collapsed="false">
      <c r="A33" s="11" t="s">
        <v>75</v>
      </c>
      <c r="B33" s="9" t="s">
        <v>76</v>
      </c>
      <c r="C33" s="10" t="s">
        <v>77</v>
      </c>
      <c r="D33" s="10" t="s">
        <v>325</v>
      </c>
      <c r="E33" s="11" t="s">
        <v>517</v>
      </c>
      <c r="F33" s="11" t="s">
        <v>362</v>
      </c>
      <c r="G33" s="10" t="s">
        <v>363</v>
      </c>
      <c r="H33" s="10" t="s">
        <v>364</v>
      </c>
      <c r="I33" s="11" t="n">
        <v>3</v>
      </c>
      <c r="J33" s="11" t="str">
        <f aca="false">IF(I33&gt;=4,"Completo","Parcial")</f>
        <v>Parcial</v>
      </c>
      <c r="K33" s="10" t="s">
        <v>574</v>
      </c>
    </row>
    <row r="34" customFormat="false" ht="35.05" hidden="false" customHeight="false" outlineLevel="0" collapsed="false">
      <c r="A34" s="11" t="s">
        <v>75</v>
      </c>
      <c r="B34" s="9" t="s">
        <v>76</v>
      </c>
      <c r="C34" s="10" t="s">
        <v>77</v>
      </c>
      <c r="D34" s="10" t="s">
        <v>325</v>
      </c>
      <c r="E34" s="11" t="s">
        <v>517</v>
      </c>
      <c r="F34" s="11" t="s">
        <v>194</v>
      </c>
      <c r="G34" s="10" t="s">
        <v>365</v>
      </c>
      <c r="H34" s="10" t="s">
        <v>366</v>
      </c>
      <c r="I34" s="11" t="n">
        <v>1</v>
      </c>
      <c r="J34" s="11" t="str">
        <f aca="false">IF(I34&gt;=4,"Completo","Parcial")</f>
        <v>Parcial</v>
      </c>
      <c r="K34" s="10" t="s">
        <v>575</v>
      </c>
    </row>
    <row r="35" customFormat="false" ht="23.85" hidden="false" customHeight="false" outlineLevel="0" collapsed="false">
      <c r="A35" s="11" t="s">
        <v>75</v>
      </c>
      <c r="B35" s="9" t="s">
        <v>76</v>
      </c>
      <c r="C35" s="10" t="s">
        <v>77</v>
      </c>
      <c r="D35" s="10" t="s">
        <v>368</v>
      </c>
      <c r="E35" s="11" t="s">
        <v>524</v>
      </c>
      <c r="F35" s="11" t="s">
        <v>147</v>
      </c>
      <c r="G35" s="10" t="s">
        <v>367</v>
      </c>
      <c r="H35" s="10" t="s">
        <v>369</v>
      </c>
      <c r="I35" s="11" t="n">
        <v>2</v>
      </c>
      <c r="J35" s="11" t="str">
        <f aca="false">IF(I35&gt;=4,"Completo","Parcial")</f>
        <v>Parcial</v>
      </c>
      <c r="K35" s="10" t="s">
        <v>576</v>
      </c>
    </row>
    <row r="36" customFormat="false" ht="35.05" hidden="false" customHeight="false" outlineLevel="0" collapsed="false">
      <c r="A36" s="11" t="s">
        <v>75</v>
      </c>
      <c r="B36" s="9" t="s">
        <v>80</v>
      </c>
      <c r="C36" s="10" t="s">
        <v>81</v>
      </c>
      <c r="D36" s="10" t="s">
        <v>325</v>
      </c>
      <c r="E36" s="11" t="s">
        <v>517</v>
      </c>
      <c r="F36" s="11" t="s">
        <v>370</v>
      </c>
      <c r="G36" s="10" t="s">
        <v>371</v>
      </c>
      <c r="H36" s="10" t="s">
        <v>372</v>
      </c>
      <c r="I36" s="11" t="n">
        <v>4</v>
      </c>
      <c r="J36" s="11" t="str">
        <f aca="false">IF(I36&gt;=4,"Completo","Parcial")</f>
        <v>Completo</v>
      </c>
      <c r="K36" s="10" t="s">
        <v>577</v>
      </c>
    </row>
    <row r="37" customFormat="false" ht="35.05" hidden="false" customHeight="false" outlineLevel="0" collapsed="false">
      <c r="A37" s="11" t="s">
        <v>75</v>
      </c>
      <c r="B37" s="9" t="s">
        <v>80</v>
      </c>
      <c r="C37" s="10" t="s">
        <v>81</v>
      </c>
      <c r="D37" s="10" t="s">
        <v>325</v>
      </c>
      <c r="E37" s="11" t="s">
        <v>517</v>
      </c>
      <c r="F37" s="11" t="s">
        <v>129</v>
      </c>
      <c r="G37" s="10" t="s">
        <v>360</v>
      </c>
      <c r="H37" s="10" t="s">
        <v>373</v>
      </c>
      <c r="I37" s="11" t="n">
        <v>2</v>
      </c>
      <c r="J37" s="11" t="str">
        <f aca="false">IF(I37&gt;=4,"Completo","Parcial")</f>
        <v>Parcial</v>
      </c>
      <c r="K37" s="10" t="s">
        <v>578</v>
      </c>
    </row>
    <row r="38" customFormat="false" ht="35.05" hidden="false" customHeight="false" outlineLevel="0" collapsed="false">
      <c r="A38" s="11" t="s">
        <v>75</v>
      </c>
      <c r="B38" s="9" t="s">
        <v>80</v>
      </c>
      <c r="C38" s="10" t="s">
        <v>81</v>
      </c>
      <c r="D38" s="10" t="s">
        <v>325</v>
      </c>
      <c r="E38" s="11" t="s">
        <v>517</v>
      </c>
      <c r="F38" s="11" t="s">
        <v>362</v>
      </c>
      <c r="G38" s="10" t="s">
        <v>363</v>
      </c>
      <c r="H38" s="10" t="s">
        <v>374</v>
      </c>
      <c r="I38" s="11" t="n">
        <v>1</v>
      </c>
      <c r="J38" s="11" t="str">
        <f aca="false">IF(I38&gt;=4,"Completo","Parcial")</f>
        <v>Parcial</v>
      </c>
      <c r="K38" s="10" t="s">
        <v>574</v>
      </c>
    </row>
    <row r="39" customFormat="false" ht="35.05" hidden="false" customHeight="false" outlineLevel="0" collapsed="false">
      <c r="A39" s="11" t="s">
        <v>75</v>
      </c>
      <c r="B39" s="9" t="s">
        <v>80</v>
      </c>
      <c r="C39" s="10" t="s">
        <v>81</v>
      </c>
      <c r="D39" s="10" t="s">
        <v>376</v>
      </c>
      <c r="E39" s="11" t="s">
        <v>524</v>
      </c>
      <c r="F39" s="11" t="s">
        <v>270</v>
      </c>
      <c r="G39" s="10" t="s">
        <v>375</v>
      </c>
      <c r="H39" s="10" t="s">
        <v>377</v>
      </c>
      <c r="I39" s="11" t="n">
        <v>1</v>
      </c>
      <c r="J39" s="11" t="str">
        <f aca="false">IF(I39&gt;=4,"Completo","Parcial")</f>
        <v>Parcial</v>
      </c>
      <c r="K39" s="10" t="s">
        <v>579</v>
      </c>
    </row>
    <row r="40" customFormat="false" ht="35.05" hidden="false" customHeight="false" outlineLevel="0" collapsed="false">
      <c r="A40" s="11" t="s">
        <v>75</v>
      </c>
      <c r="B40" s="9" t="s">
        <v>84</v>
      </c>
      <c r="C40" s="10" t="s">
        <v>85</v>
      </c>
      <c r="D40" s="10" t="s">
        <v>325</v>
      </c>
      <c r="E40" s="11" t="s">
        <v>517</v>
      </c>
      <c r="F40" s="11" t="s">
        <v>86</v>
      </c>
      <c r="G40" s="10" t="s">
        <v>382</v>
      </c>
      <c r="H40" s="10" t="s">
        <v>580</v>
      </c>
      <c r="I40" s="11" t="n">
        <v>4</v>
      </c>
      <c r="J40" s="11" t="str">
        <f aca="false">IF(I40&gt;=4,"Completo","Parcial")</f>
        <v>Completo</v>
      </c>
      <c r="K40" s="10" t="s">
        <v>581</v>
      </c>
    </row>
    <row r="41" customFormat="false" ht="35.05" hidden="false" customHeight="false" outlineLevel="0" collapsed="false">
      <c r="A41" s="11" t="s">
        <v>75</v>
      </c>
      <c r="B41" s="9" t="s">
        <v>87</v>
      </c>
      <c r="C41" s="10" t="s">
        <v>88</v>
      </c>
      <c r="D41" s="10" t="s">
        <v>325</v>
      </c>
      <c r="E41" s="11" t="s">
        <v>517</v>
      </c>
      <c r="F41" s="11" t="s">
        <v>323</v>
      </c>
      <c r="G41" s="10" t="s">
        <v>324</v>
      </c>
      <c r="H41" s="10" t="s">
        <v>378</v>
      </c>
      <c r="I41" s="11" t="n">
        <v>1</v>
      </c>
      <c r="J41" s="11" t="str">
        <f aca="false">IF(I41&gt;=4,"Completo","Parcial")</f>
        <v>Parcial</v>
      </c>
      <c r="K41" s="10" t="s">
        <v>582</v>
      </c>
    </row>
    <row r="42" customFormat="false" ht="35.05" hidden="false" customHeight="false" outlineLevel="0" collapsed="false">
      <c r="A42" s="11" t="s">
        <v>75</v>
      </c>
      <c r="B42" s="9" t="s">
        <v>87</v>
      </c>
      <c r="C42" s="10" t="s">
        <v>88</v>
      </c>
      <c r="D42" s="10" t="s">
        <v>325</v>
      </c>
      <c r="E42" s="11" t="s">
        <v>517</v>
      </c>
      <c r="F42" s="11" t="s">
        <v>73</v>
      </c>
      <c r="G42" s="10" t="s">
        <v>379</v>
      </c>
      <c r="H42" s="10" t="s">
        <v>380</v>
      </c>
      <c r="I42" s="11" t="n">
        <v>2</v>
      </c>
      <c r="J42" s="11" t="str">
        <f aca="false">IF(I42&gt;=4,"Completo","Parcial")</f>
        <v>Parcial</v>
      </c>
      <c r="K42" s="10" t="s">
        <v>583</v>
      </c>
    </row>
    <row r="43" customFormat="false" ht="46.25" hidden="false" customHeight="false" outlineLevel="0" collapsed="false">
      <c r="A43" s="11" t="s">
        <v>75</v>
      </c>
      <c r="B43" s="9" t="s">
        <v>90</v>
      </c>
      <c r="C43" s="10" t="s">
        <v>91</v>
      </c>
      <c r="D43" s="10" t="s">
        <v>325</v>
      </c>
      <c r="E43" s="11" t="s">
        <v>517</v>
      </c>
      <c r="F43" s="11" t="s">
        <v>323</v>
      </c>
      <c r="G43" s="10" t="s">
        <v>324</v>
      </c>
      <c r="H43" s="10" t="s">
        <v>381</v>
      </c>
      <c r="I43" s="11" t="n">
        <v>15</v>
      </c>
      <c r="J43" s="11" t="str">
        <f aca="false">IF(I43&gt;=4,"Completo","Parcial")</f>
        <v>Completo</v>
      </c>
      <c r="K43" s="10" t="s">
        <v>584</v>
      </c>
    </row>
    <row r="44" customFormat="false" ht="23.85" hidden="false" customHeight="false" outlineLevel="0" collapsed="false">
      <c r="A44" s="11" t="s">
        <v>75</v>
      </c>
      <c r="B44" s="9" t="s">
        <v>90</v>
      </c>
      <c r="C44" s="10" t="s">
        <v>91</v>
      </c>
      <c r="D44" s="10" t="s">
        <v>325</v>
      </c>
      <c r="E44" s="11" t="s">
        <v>517</v>
      </c>
      <c r="F44" s="11" t="s">
        <v>86</v>
      </c>
      <c r="G44" s="10" t="s">
        <v>382</v>
      </c>
      <c r="H44" s="10" t="s">
        <v>383</v>
      </c>
      <c r="I44" s="11" t="n">
        <v>2</v>
      </c>
      <c r="J44" s="11" t="str">
        <f aca="false">IF(I44&gt;=4,"Completo","Parcial")</f>
        <v>Parcial</v>
      </c>
      <c r="K44" s="10" t="s">
        <v>585</v>
      </c>
    </row>
    <row r="45" customFormat="false" ht="35.05" hidden="false" customHeight="false" outlineLevel="0" collapsed="false">
      <c r="A45" s="11" t="s">
        <v>75</v>
      </c>
      <c r="B45" s="9" t="s">
        <v>93</v>
      </c>
      <c r="C45" s="10" t="s">
        <v>94</v>
      </c>
      <c r="D45" s="10" t="s">
        <v>325</v>
      </c>
      <c r="E45" s="11" t="s">
        <v>517</v>
      </c>
      <c r="F45" s="11" t="s">
        <v>95</v>
      </c>
      <c r="G45" s="10" t="s">
        <v>384</v>
      </c>
      <c r="H45" s="10" t="s">
        <v>586</v>
      </c>
      <c r="I45" s="11" t="n">
        <v>1</v>
      </c>
      <c r="J45" s="11" t="str">
        <f aca="false">IF(I45&gt;=4,"Completo","Parcial")</f>
        <v>Parcial</v>
      </c>
      <c r="K45" s="10" t="s">
        <v>587</v>
      </c>
    </row>
    <row r="46" customFormat="false" ht="35.05" hidden="false" customHeight="false" outlineLevel="0" collapsed="false">
      <c r="A46" s="11" t="s">
        <v>75</v>
      </c>
      <c r="B46" s="9" t="s">
        <v>93</v>
      </c>
      <c r="C46" s="10" t="s">
        <v>94</v>
      </c>
      <c r="D46" s="10" t="s">
        <v>588</v>
      </c>
      <c r="E46" s="11" t="s">
        <v>524</v>
      </c>
      <c r="F46" s="11" t="s">
        <v>95</v>
      </c>
      <c r="G46" s="10" t="s">
        <v>384</v>
      </c>
      <c r="H46" s="10" t="s">
        <v>589</v>
      </c>
      <c r="I46" s="11" t="n">
        <v>1</v>
      </c>
      <c r="J46" s="11" t="str">
        <f aca="false">IF(I46&gt;=4,"Completo","Parcial")</f>
        <v>Parcial</v>
      </c>
      <c r="K46" s="10" t="s">
        <v>590</v>
      </c>
    </row>
    <row r="47" customFormat="false" ht="57.45" hidden="false" customHeight="false" outlineLevel="0" collapsed="false">
      <c r="A47" s="11" t="s">
        <v>75</v>
      </c>
      <c r="B47" s="9" t="s">
        <v>97</v>
      </c>
      <c r="C47" s="10" t="s">
        <v>98</v>
      </c>
      <c r="D47" s="10" t="s">
        <v>325</v>
      </c>
      <c r="E47" s="11" t="s">
        <v>517</v>
      </c>
      <c r="F47" s="11" t="s">
        <v>95</v>
      </c>
      <c r="G47" s="10" t="s">
        <v>384</v>
      </c>
      <c r="H47" s="10" t="s">
        <v>385</v>
      </c>
      <c r="I47" s="11" t="n">
        <v>7</v>
      </c>
      <c r="J47" s="11" t="str">
        <f aca="false">IF(I47&gt;=4,"Completo","Parcial")</f>
        <v>Completo</v>
      </c>
      <c r="K47" s="10" t="s">
        <v>591</v>
      </c>
    </row>
    <row r="48" customFormat="false" ht="46.25" hidden="false" customHeight="false" outlineLevel="0" collapsed="false">
      <c r="A48" s="11" t="s">
        <v>75</v>
      </c>
      <c r="B48" s="9" t="s">
        <v>97</v>
      </c>
      <c r="C48" s="10" t="s">
        <v>98</v>
      </c>
      <c r="D48" s="10" t="s">
        <v>325</v>
      </c>
      <c r="E48" s="11" t="s">
        <v>517</v>
      </c>
      <c r="F48" s="11" t="s">
        <v>386</v>
      </c>
      <c r="G48" s="10" t="s">
        <v>387</v>
      </c>
      <c r="H48" s="10" t="s">
        <v>388</v>
      </c>
      <c r="I48" s="11" t="n">
        <v>12</v>
      </c>
      <c r="J48" s="11" t="str">
        <f aca="false">IF(I48&gt;=4,"Completo","Parcial")</f>
        <v>Completo</v>
      </c>
      <c r="K48" s="10" t="s">
        <v>592</v>
      </c>
    </row>
    <row r="49" customFormat="false" ht="35.05" hidden="false" customHeight="false" outlineLevel="0" collapsed="false">
      <c r="A49" s="11" t="s">
        <v>75</v>
      </c>
      <c r="B49" s="9" t="s">
        <v>97</v>
      </c>
      <c r="C49" s="10" t="s">
        <v>98</v>
      </c>
      <c r="D49" s="10" t="s">
        <v>325</v>
      </c>
      <c r="E49" s="11" t="s">
        <v>517</v>
      </c>
      <c r="F49" s="11" t="s">
        <v>389</v>
      </c>
      <c r="G49" s="10" t="s">
        <v>390</v>
      </c>
      <c r="H49" s="10" t="s">
        <v>391</v>
      </c>
      <c r="I49" s="11" t="n">
        <v>1</v>
      </c>
      <c r="J49" s="11" t="str">
        <f aca="false">IF(I49&gt;=4,"Completo","Parcial")</f>
        <v>Parcial</v>
      </c>
      <c r="K49" s="10" t="s">
        <v>593</v>
      </c>
    </row>
    <row r="50" customFormat="false" ht="46.25" hidden="false" customHeight="false" outlineLevel="0" collapsed="false">
      <c r="A50" s="11" t="s">
        <v>75</v>
      </c>
      <c r="B50" s="9" t="s">
        <v>97</v>
      </c>
      <c r="C50" s="10" t="s">
        <v>98</v>
      </c>
      <c r="D50" s="10" t="s">
        <v>325</v>
      </c>
      <c r="E50" s="11" t="s">
        <v>517</v>
      </c>
      <c r="F50" s="11" t="s">
        <v>126</v>
      </c>
      <c r="G50" s="10" t="s">
        <v>392</v>
      </c>
      <c r="H50" s="10" t="s">
        <v>393</v>
      </c>
      <c r="I50" s="11" t="n">
        <v>4</v>
      </c>
      <c r="J50" s="11" t="str">
        <f aca="false">IF(I50&gt;=4,"Completo","Parcial")</f>
        <v>Completo</v>
      </c>
      <c r="K50" s="10" t="s">
        <v>594</v>
      </c>
    </row>
    <row r="51" customFormat="false" ht="35.05" hidden="false" customHeight="false" outlineLevel="0" collapsed="false">
      <c r="A51" s="11" t="s">
        <v>75</v>
      </c>
      <c r="B51" s="9" t="s">
        <v>97</v>
      </c>
      <c r="C51" s="10" t="s">
        <v>98</v>
      </c>
      <c r="D51" s="10" t="s">
        <v>325</v>
      </c>
      <c r="E51" s="11" t="s">
        <v>517</v>
      </c>
      <c r="F51" s="11" t="s">
        <v>86</v>
      </c>
      <c r="G51" s="10" t="s">
        <v>382</v>
      </c>
      <c r="H51" s="10" t="s">
        <v>394</v>
      </c>
      <c r="I51" s="11" t="n">
        <v>3</v>
      </c>
      <c r="J51" s="11" t="str">
        <f aca="false">IF(I51&gt;=4,"Completo","Parcial")</f>
        <v>Parcial</v>
      </c>
      <c r="K51" s="10" t="s">
        <v>595</v>
      </c>
    </row>
    <row r="52" customFormat="false" ht="15" hidden="false" customHeight="false" outlineLevel="0" collapsed="false">
      <c r="A52" s="11" t="s">
        <v>75</v>
      </c>
      <c r="B52" s="9" t="s">
        <v>100</v>
      </c>
      <c r="C52" s="10" t="s">
        <v>101</v>
      </c>
      <c r="D52" s="10" t="s">
        <v>325</v>
      </c>
      <c r="E52" s="11" t="s">
        <v>517</v>
      </c>
      <c r="F52" s="11" t="s">
        <v>370</v>
      </c>
      <c r="G52" s="10" t="s">
        <v>371</v>
      </c>
      <c r="H52" s="10" t="s">
        <v>100</v>
      </c>
      <c r="I52" s="11" t="n">
        <v>3</v>
      </c>
      <c r="J52" s="11" t="str">
        <f aca="false">IF(I52&gt;=4,"Completo","Parcial")</f>
        <v>Parcial</v>
      </c>
      <c r="K52" s="10" t="s">
        <v>596</v>
      </c>
    </row>
    <row r="53" customFormat="false" ht="35.05" hidden="false" customHeight="false" outlineLevel="0" collapsed="false">
      <c r="A53" s="11" t="s">
        <v>75</v>
      </c>
      <c r="B53" s="9" t="s">
        <v>100</v>
      </c>
      <c r="C53" s="10" t="s">
        <v>101</v>
      </c>
      <c r="D53" s="10" t="s">
        <v>325</v>
      </c>
      <c r="E53" s="11" t="s">
        <v>517</v>
      </c>
      <c r="F53" s="11" t="s">
        <v>14</v>
      </c>
      <c r="G53" s="10" t="s">
        <v>395</v>
      </c>
      <c r="H53" s="10" t="s">
        <v>396</v>
      </c>
      <c r="I53" s="11" t="n">
        <v>1</v>
      </c>
      <c r="J53" s="11" t="str">
        <f aca="false">IF(I53&gt;=4,"Completo","Parcial")</f>
        <v>Parcial</v>
      </c>
      <c r="K53" s="10" t="s">
        <v>597</v>
      </c>
    </row>
    <row r="54" customFormat="false" ht="35.05" hidden="false" customHeight="false" outlineLevel="0" collapsed="false">
      <c r="A54" s="11" t="s">
        <v>75</v>
      </c>
      <c r="B54" s="9" t="s">
        <v>100</v>
      </c>
      <c r="C54" s="10" t="s">
        <v>101</v>
      </c>
      <c r="D54" s="10" t="s">
        <v>325</v>
      </c>
      <c r="E54" s="11" t="s">
        <v>517</v>
      </c>
      <c r="F54" s="11" t="s">
        <v>106</v>
      </c>
      <c r="G54" s="10" t="s">
        <v>397</v>
      </c>
      <c r="H54" s="10" t="s">
        <v>398</v>
      </c>
      <c r="I54" s="11" t="n">
        <v>2</v>
      </c>
      <c r="J54" s="11" t="str">
        <f aca="false">IF(I54&gt;=4,"Completo","Parcial")</f>
        <v>Parcial</v>
      </c>
      <c r="K54" s="10" t="s">
        <v>598</v>
      </c>
    </row>
    <row r="55" customFormat="false" ht="35.05" hidden="false" customHeight="false" outlineLevel="0" collapsed="false">
      <c r="A55" s="11" t="s">
        <v>75</v>
      </c>
      <c r="B55" s="9" t="s">
        <v>100</v>
      </c>
      <c r="C55" s="10" t="s">
        <v>101</v>
      </c>
      <c r="D55" s="10" t="s">
        <v>399</v>
      </c>
      <c r="E55" s="11" t="s">
        <v>524</v>
      </c>
      <c r="F55" s="11" t="s">
        <v>106</v>
      </c>
      <c r="G55" s="10" t="s">
        <v>397</v>
      </c>
      <c r="H55" s="10" t="s">
        <v>400</v>
      </c>
      <c r="I55" s="11" t="n">
        <v>4</v>
      </c>
      <c r="J55" s="11" t="str">
        <f aca="false">IF(I55&gt;=4,"Completo","Parcial")</f>
        <v>Completo</v>
      </c>
      <c r="K55" s="10" t="s">
        <v>599</v>
      </c>
    </row>
    <row r="56" customFormat="false" ht="35.05" hidden="false" customHeight="false" outlineLevel="0" collapsed="false">
      <c r="A56" s="11" t="s">
        <v>75</v>
      </c>
      <c r="B56" s="9" t="s">
        <v>104</v>
      </c>
      <c r="C56" s="10" t="s">
        <v>105</v>
      </c>
      <c r="D56" s="10" t="s">
        <v>325</v>
      </c>
      <c r="E56" s="11" t="s">
        <v>517</v>
      </c>
      <c r="F56" s="11" t="s">
        <v>106</v>
      </c>
      <c r="G56" s="10" t="s">
        <v>397</v>
      </c>
      <c r="H56" s="10" t="s">
        <v>600</v>
      </c>
      <c r="I56" s="11" t="n">
        <v>2</v>
      </c>
      <c r="J56" s="11" t="str">
        <f aca="false">IF(I56&gt;=4,"Completo","Parcial")</f>
        <v>Parcial</v>
      </c>
      <c r="K56" s="10" t="s">
        <v>601</v>
      </c>
    </row>
    <row r="57" customFormat="false" ht="35.05" hidden="false" customHeight="false" outlineLevel="0" collapsed="false">
      <c r="A57" s="11" t="s">
        <v>75</v>
      </c>
      <c r="B57" s="9" t="s">
        <v>107</v>
      </c>
      <c r="C57" s="10" t="s">
        <v>108</v>
      </c>
      <c r="D57" s="10" t="s">
        <v>325</v>
      </c>
      <c r="E57" s="11" t="s">
        <v>517</v>
      </c>
      <c r="F57" s="11" t="s">
        <v>109</v>
      </c>
      <c r="G57" s="10" t="s">
        <v>401</v>
      </c>
      <c r="H57" s="10" t="s">
        <v>602</v>
      </c>
      <c r="I57" s="11" t="n">
        <v>1</v>
      </c>
      <c r="J57" s="11" t="str">
        <f aca="false">IF(I57&gt;=4,"Completo","Parcial")</f>
        <v>Parcial</v>
      </c>
      <c r="K57" s="10" t="s">
        <v>603</v>
      </c>
    </row>
    <row r="58" customFormat="false" ht="91" hidden="false" customHeight="false" outlineLevel="0" collapsed="false">
      <c r="A58" s="11" t="s">
        <v>75</v>
      </c>
      <c r="B58" s="9" t="s">
        <v>107</v>
      </c>
      <c r="C58" s="10" t="s">
        <v>108</v>
      </c>
      <c r="D58" s="10" t="s">
        <v>604</v>
      </c>
      <c r="E58" s="11" t="s">
        <v>524</v>
      </c>
      <c r="F58" s="11" t="s">
        <v>109</v>
      </c>
      <c r="G58" s="10" t="s">
        <v>401</v>
      </c>
      <c r="H58" s="10" t="s">
        <v>605</v>
      </c>
      <c r="I58" s="11" t="n">
        <v>10</v>
      </c>
      <c r="J58" s="11" t="str">
        <f aca="false">IF(I58&gt;=4,"Completo","Parcial")</f>
        <v>Completo</v>
      </c>
      <c r="K58" s="10" t="s">
        <v>606</v>
      </c>
    </row>
    <row r="59" customFormat="false" ht="35.05" hidden="false" customHeight="false" outlineLevel="0" collapsed="false">
      <c r="A59" s="11" t="s">
        <v>75</v>
      </c>
      <c r="B59" s="9" t="s">
        <v>111</v>
      </c>
      <c r="C59" s="10" t="s">
        <v>112</v>
      </c>
      <c r="D59" s="10" t="s">
        <v>325</v>
      </c>
      <c r="E59" s="11" t="s">
        <v>517</v>
      </c>
      <c r="F59" s="11" t="s">
        <v>109</v>
      </c>
      <c r="G59" s="10" t="s">
        <v>401</v>
      </c>
      <c r="H59" s="10" t="s">
        <v>402</v>
      </c>
      <c r="I59" s="11" t="n">
        <v>1</v>
      </c>
      <c r="J59" s="11" t="str">
        <f aca="false">IF(I59&gt;=4,"Completo","Parcial")</f>
        <v>Parcial</v>
      </c>
      <c r="K59" s="10" t="s">
        <v>607</v>
      </c>
    </row>
    <row r="60" customFormat="false" ht="35.05" hidden="false" customHeight="false" outlineLevel="0" collapsed="false">
      <c r="A60" s="11" t="s">
        <v>75</v>
      </c>
      <c r="B60" s="9" t="s">
        <v>111</v>
      </c>
      <c r="C60" s="10" t="s">
        <v>112</v>
      </c>
      <c r="D60" s="10" t="s">
        <v>325</v>
      </c>
      <c r="E60" s="11" t="s">
        <v>517</v>
      </c>
      <c r="F60" s="11" t="s">
        <v>230</v>
      </c>
      <c r="G60" s="10" t="s">
        <v>403</v>
      </c>
      <c r="H60" s="10" t="s">
        <v>404</v>
      </c>
      <c r="I60" s="11" t="n">
        <v>1</v>
      </c>
      <c r="J60" s="11" t="str">
        <f aca="false">IF(I60&gt;=4,"Completo","Parcial")</f>
        <v>Parcial</v>
      </c>
      <c r="K60" s="10" t="s">
        <v>608</v>
      </c>
    </row>
    <row r="61" customFormat="false" ht="35.05" hidden="false" customHeight="false" outlineLevel="0" collapsed="false">
      <c r="A61" s="11" t="s">
        <v>75</v>
      </c>
      <c r="B61" s="9" t="s">
        <v>114</v>
      </c>
      <c r="C61" s="10" t="s">
        <v>115</v>
      </c>
      <c r="D61" s="10" t="s">
        <v>325</v>
      </c>
      <c r="E61" s="11" t="s">
        <v>517</v>
      </c>
      <c r="F61" s="11" t="s">
        <v>86</v>
      </c>
      <c r="G61" s="10" t="s">
        <v>382</v>
      </c>
      <c r="H61" s="10" t="s">
        <v>609</v>
      </c>
      <c r="I61" s="11" t="n">
        <v>1</v>
      </c>
      <c r="J61" s="11" t="str">
        <f aca="false">IF(I61&gt;=4,"Completo","Parcial")</f>
        <v>Parcial</v>
      </c>
      <c r="K61" s="10" t="s">
        <v>610</v>
      </c>
    </row>
    <row r="62" customFormat="false" ht="35.05" hidden="false" customHeight="false" outlineLevel="0" collapsed="false">
      <c r="A62" s="11" t="s">
        <v>75</v>
      </c>
      <c r="B62" s="9" t="s">
        <v>116</v>
      </c>
      <c r="C62" s="10" t="s">
        <v>117</v>
      </c>
      <c r="D62" s="10" t="s">
        <v>325</v>
      </c>
      <c r="E62" s="11" t="s">
        <v>517</v>
      </c>
      <c r="F62" s="11" t="s">
        <v>118</v>
      </c>
      <c r="G62" s="10" t="s">
        <v>419</v>
      </c>
      <c r="H62" s="10" t="s">
        <v>611</v>
      </c>
      <c r="I62" s="11" t="n">
        <v>1</v>
      </c>
      <c r="J62" s="11" t="str">
        <f aca="false">IF(I62&gt;=4,"Completo","Parcial")</f>
        <v>Parcial</v>
      </c>
      <c r="K62" s="10" t="s">
        <v>612</v>
      </c>
    </row>
    <row r="63" customFormat="false" ht="15" hidden="false" customHeight="false" outlineLevel="0" collapsed="false">
      <c r="A63" s="11" t="s">
        <v>75</v>
      </c>
      <c r="B63" s="9" t="s">
        <v>116</v>
      </c>
      <c r="C63" s="10" t="s">
        <v>117</v>
      </c>
      <c r="D63" s="10" t="s">
        <v>613</v>
      </c>
      <c r="E63" s="11" t="s">
        <v>524</v>
      </c>
      <c r="F63" s="11" t="s">
        <v>118</v>
      </c>
      <c r="G63" s="10" t="s">
        <v>419</v>
      </c>
      <c r="H63" s="10" t="s">
        <v>614</v>
      </c>
      <c r="I63" s="11" t="n">
        <v>1</v>
      </c>
      <c r="J63" s="11" t="str">
        <f aca="false">IF(I63&gt;=4,"Completo","Parcial")</f>
        <v>Parcial</v>
      </c>
      <c r="K63" s="10" t="s">
        <v>615</v>
      </c>
    </row>
    <row r="64" customFormat="false" ht="35.05" hidden="false" customHeight="false" outlineLevel="0" collapsed="false">
      <c r="A64" s="11" t="s">
        <v>75</v>
      </c>
      <c r="B64" s="9" t="s">
        <v>120</v>
      </c>
      <c r="C64" s="10" t="s">
        <v>121</v>
      </c>
      <c r="D64" s="10" t="s">
        <v>325</v>
      </c>
      <c r="E64" s="11" t="s">
        <v>517</v>
      </c>
      <c r="F64" s="11" t="s">
        <v>118</v>
      </c>
      <c r="G64" s="10" t="s">
        <v>419</v>
      </c>
      <c r="H64" s="10" t="s">
        <v>616</v>
      </c>
      <c r="I64" s="11" t="n">
        <v>3</v>
      </c>
      <c r="J64" s="11" t="str">
        <f aca="false">IF(I64&gt;=4,"Completo","Parcial")</f>
        <v>Parcial</v>
      </c>
      <c r="K64" s="10" t="s">
        <v>617</v>
      </c>
    </row>
    <row r="65" customFormat="false" ht="23.85" hidden="false" customHeight="false" outlineLevel="0" collapsed="false">
      <c r="A65" s="11" t="s">
        <v>75</v>
      </c>
      <c r="B65" s="9" t="s">
        <v>122</v>
      </c>
      <c r="C65" s="10" t="s">
        <v>123</v>
      </c>
      <c r="D65" s="10" t="s">
        <v>325</v>
      </c>
      <c r="E65" s="11" t="s">
        <v>517</v>
      </c>
      <c r="F65" s="11" t="s">
        <v>118</v>
      </c>
      <c r="G65" s="10" t="s">
        <v>419</v>
      </c>
      <c r="H65" s="10" t="s">
        <v>618</v>
      </c>
      <c r="I65" s="11" t="n">
        <v>2</v>
      </c>
      <c r="J65" s="11" t="str">
        <f aca="false">IF(I65&gt;=4,"Completo","Parcial")</f>
        <v>Parcial</v>
      </c>
      <c r="K65" s="10" t="s">
        <v>619</v>
      </c>
    </row>
    <row r="66" customFormat="false" ht="35.05" hidden="false" customHeight="false" outlineLevel="0" collapsed="false">
      <c r="A66" s="11" t="s">
        <v>75</v>
      </c>
      <c r="B66" s="9" t="s">
        <v>124</v>
      </c>
      <c r="C66" s="10" t="s">
        <v>125</v>
      </c>
      <c r="D66" s="10" t="s">
        <v>325</v>
      </c>
      <c r="E66" s="11" t="s">
        <v>517</v>
      </c>
      <c r="F66" s="11" t="s">
        <v>126</v>
      </c>
      <c r="G66" s="10" t="s">
        <v>392</v>
      </c>
      <c r="H66" s="10" t="s">
        <v>620</v>
      </c>
      <c r="I66" s="11" t="n">
        <v>2</v>
      </c>
      <c r="J66" s="11" t="str">
        <f aca="false">IF(I66&gt;=4,"Completo","Parcial")</f>
        <v>Parcial</v>
      </c>
      <c r="K66" s="10" t="s">
        <v>621</v>
      </c>
    </row>
    <row r="67" customFormat="false" ht="35.05" hidden="false" customHeight="false" outlineLevel="0" collapsed="false">
      <c r="A67" s="11" t="s">
        <v>75</v>
      </c>
      <c r="B67" s="9" t="s">
        <v>127</v>
      </c>
      <c r="C67" s="10" t="s">
        <v>128</v>
      </c>
      <c r="D67" s="10" t="s">
        <v>325</v>
      </c>
      <c r="E67" s="11" t="s">
        <v>517</v>
      </c>
      <c r="F67" s="11" t="s">
        <v>129</v>
      </c>
      <c r="G67" s="10" t="s">
        <v>360</v>
      </c>
      <c r="H67" s="10" t="s">
        <v>622</v>
      </c>
      <c r="I67" s="11" t="n">
        <v>2</v>
      </c>
      <c r="J67" s="11" t="str">
        <f aca="false">IF(I67&gt;=4,"Completo","Parcial")</f>
        <v>Parcial</v>
      </c>
      <c r="K67" s="10" t="s">
        <v>623</v>
      </c>
    </row>
    <row r="68" customFormat="false" ht="35.05" hidden="false" customHeight="false" outlineLevel="0" collapsed="false">
      <c r="A68" s="11" t="s">
        <v>130</v>
      </c>
      <c r="B68" s="9" t="s">
        <v>131</v>
      </c>
      <c r="C68" s="10" t="s">
        <v>132</v>
      </c>
      <c r="D68" s="10" t="s">
        <v>325</v>
      </c>
      <c r="E68" s="11" t="s">
        <v>517</v>
      </c>
      <c r="F68" s="11" t="s">
        <v>95</v>
      </c>
      <c r="G68" s="10" t="s">
        <v>384</v>
      </c>
      <c r="H68" s="10" t="s">
        <v>130</v>
      </c>
      <c r="I68" s="11" t="n">
        <v>1</v>
      </c>
      <c r="J68" s="11" t="str">
        <f aca="false">IF(I68&gt;=4,"Completo","Parcial")</f>
        <v>Parcial</v>
      </c>
      <c r="K68" s="10" t="s">
        <v>624</v>
      </c>
    </row>
    <row r="69" customFormat="false" ht="35.05" hidden="false" customHeight="false" outlineLevel="0" collapsed="false">
      <c r="A69" s="11" t="s">
        <v>130</v>
      </c>
      <c r="B69" s="9" t="s">
        <v>131</v>
      </c>
      <c r="C69" s="10" t="s">
        <v>132</v>
      </c>
      <c r="D69" s="10" t="s">
        <v>325</v>
      </c>
      <c r="E69" s="11" t="s">
        <v>517</v>
      </c>
      <c r="F69" s="11" t="s">
        <v>405</v>
      </c>
      <c r="G69" s="10" t="s">
        <v>406</v>
      </c>
      <c r="H69" s="10" t="s">
        <v>407</v>
      </c>
      <c r="I69" s="11" t="n">
        <v>1</v>
      </c>
      <c r="J69" s="11" t="str">
        <f aca="false">IF(I69&gt;=4,"Completo","Parcial")</f>
        <v>Parcial</v>
      </c>
      <c r="K69" s="10" t="s">
        <v>625</v>
      </c>
    </row>
    <row r="70" customFormat="false" ht="35.05" hidden="false" customHeight="false" outlineLevel="0" collapsed="false">
      <c r="A70" s="11" t="s">
        <v>130</v>
      </c>
      <c r="B70" s="9" t="s">
        <v>131</v>
      </c>
      <c r="C70" s="10" t="s">
        <v>132</v>
      </c>
      <c r="D70" s="10" t="s">
        <v>408</v>
      </c>
      <c r="E70" s="11" t="s">
        <v>524</v>
      </c>
      <c r="F70" s="11" t="s">
        <v>405</v>
      </c>
      <c r="G70" s="10" t="s">
        <v>406</v>
      </c>
      <c r="H70" s="10" t="s">
        <v>409</v>
      </c>
      <c r="I70" s="11" t="n">
        <v>2</v>
      </c>
      <c r="J70" s="11" t="str">
        <f aca="false">IF(I70&gt;=4,"Completo","Parcial")</f>
        <v>Parcial</v>
      </c>
      <c r="K70" s="10" t="s">
        <v>626</v>
      </c>
    </row>
    <row r="71" customFormat="false" ht="35.05" hidden="false" customHeight="false" outlineLevel="0" collapsed="false">
      <c r="A71" s="11" t="s">
        <v>130</v>
      </c>
      <c r="B71" s="9" t="s">
        <v>135</v>
      </c>
      <c r="C71" s="10" t="s">
        <v>136</v>
      </c>
      <c r="D71" s="10" t="s">
        <v>627</v>
      </c>
      <c r="E71" s="11" t="s">
        <v>524</v>
      </c>
      <c r="F71" s="11" t="s">
        <v>405</v>
      </c>
      <c r="G71" s="10" t="s">
        <v>406</v>
      </c>
      <c r="H71" s="10" t="s">
        <v>628</v>
      </c>
      <c r="I71" s="11" t="n">
        <v>1</v>
      </c>
      <c r="J71" s="11" t="str">
        <f aca="false">IF(I71&gt;=4,"Completo","Parcial")</f>
        <v>Parcial</v>
      </c>
      <c r="K71" s="10" t="s">
        <v>629</v>
      </c>
    </row>
    <row r="72" customFormat="false" ht="35.05" hidden="false" customHeight="false" outlineLevel="0" collapsed="false">
      <c r="A72" s="11" t="s">
        <v>130</v>
      </c>
      <c r="B72" s="9" t="s">
        <v>135</v>
      </c>
      <c r="C72" s="10" t="s">
        <v>136</v>
      </c>
      <c r="D72" s="10" t="s">
        <v>630</v>
      </c>
      <c r="E72" s="11" t="s">
        <v>524</v>
      </c>
      <c r="F72" s="11" t="s">
        <v>405</v>
      </c>
      <c r="G72" s="10" t="s">
        <v>406</v>
      </c>
      <c r="H72" s="10" t="s">
        <v>631</v>
      </c>
      <c r="I72" s="11" t="n">
        <v>1</v>
      </c>
      <c r="J72" s="11" t="str">
        <f aca="false">IF(I72&gt;=4,"Completo","Parcial")</f>
        <v>Parcial</v>
      </c>
      <c r="K72" s="10" t="s">
        <v>632</v>
      </c>
    </row>
    <row r="73" customFormat="false" ht="23.85" hidden="false" customHeight="false" outlineLevel="0" collapsed="false">
      <c r="A73" s="11" t="s">
        <v>130</v>
      </c>
      <c r="B73" s="9" t="s">
        <v>135</v>
      </c>
      <c r="C73" s="10" t="s">
        <v>136</v>
      </c>
      <c r="D73" s="10" t="s">
        <v>633</v>
      </c>
      <c r="E73" s="11" t="s">
        <v>524</v>
      </c>
      <c r="F73" s="11" t="s">
        <v>405</v>
      </c>
      <c r="G73" s="10" t="s">
        <v>406</v>
      </c>
      <c r="H73" s="10" t="s">
        <v>634</v>
      </c>
      <c r="I73" s="11" t="n">
        <v>1</v>
      </c>
      <c r="J73" s="11" t="str">
        <f aca="false">IF(I73&gt;=4,"Completo","Parcial")</f>
        <v>Parcial</v>
      </c>
      <c r="K73" s="10" t="s">
        <v>635</v>
      </c>
    </row>
    <row r="74" customFormat="false" ht="57.45" hidden="false" customHeight="false" outlineLevel="0" collapsed="false">
      <c r="A74" s="11" t="s">
        <v>130</v>
      </c>
      <c r="B74" s="9" t="s">
        <v>138</v>
      </c>
      <c r="C74" s="10" t="s">
        <v>139</v>
      </c>
      <c r="D74" s="10" t="s">
        <v>325</v>
      </c>
      <c r="E74" s="11" t="s">
        <v>517</v>
      </c>
      <c r="F74" s="11" t="s">
        <v>244</v>
      </c>
      <c r="G74" s="10" t="s">
        <v>410</v>
      </c>
      <c r="H74" s="10" t="s">
        <v>411</v>
      </c>
      <c r="I74" s="11" t="n">
        <v>10</v>
      </c>
      <c r="J74" s="11" t="str">
        <f aca="false">IF(I74&gt;=4,"Completo","Parcial")</f>
        <v>Completo</v>
      </c>
      <c r="K74" s="10" t="s">
        <v>636</v>
      </c>
    </row>
    <row r="75" customFormat="false" ht="35.05" hidden="false" customHeight="false" outlineLevel="0" collapsed="false">
      <c r="A75" s="11" t="s">
        <v>130</v>
      </c>
      <c r="B75" s="9" t="s">
        <v>138</v>
      </c>
      <c r="C75" s="10" t="s">
        <v>139</v>
      </c>
      <c r="D75" s="10" t="s">
        <v>325</v>
      </c>
      <c r="E75" s="11" t="s">
        <v>517</v>
      </c>
      <c r="F75" s="11" t="s">
        <v>386</v>
      </c>
      <c r="G75" s="10" t="s">
        <v>387</v>
      </c>
      <c r="H75" s="10" t="s">
        <v>412</v>
      </c>
      <c r="I75" s="11" t="n">
        <v>2</v>
      </c>
      <c r="J75" s="11" t="str">
        <f aca="false">IF(I75&gt;=4,"Completo","Parcial")</f>
        <v>Parcial</v>
      </c>
      <c r="K75" s="10" t="s">
        <v>637</v>
      </c>
    </row>
    <row r="76" customFormat="false" ht="35.05" hidden="false" customHeight="false" outlineLevel="0" collapsed="false">
      <c r="A76" s="11" t="s">
        <v>130</v>
      </c>
      <c r="B76" s="9" t="s">
        <v>141</v>
      </c>
      <c r="C76" s="10" t="s">
        <v>142</v>
      </c>
      <c r="D76" s="10" t="s">
        <v>325</v>
      </c>
      <c r="E76" s="11" t="s">
        <v>517</v>
      </c>
      <c r="F76" s="11" t="s">
        <v>386</v>
      </c>
      <c r="G76" s="10" t="s">
        <v>387</v>
      </c>
      <c r="H76" s="10" t="s">
        <v>413</v>
      </c>
      <c r="I76" s="11" t="n">
        <v>2</v>
      </c>
      <c r="J76" s="11" t="str">
        <f aca="false">IF(I76&gt;=4,"Completo","Parcial")</f>
        <v>Parcial</v>
      </c>
      <c r="K76" s="10" t="s">
        <v>638</v>
      </c>
    </row>
    <row r="77" customFormat="false" ht="35.05" hidden="false" customHeight="false" outlineLevel="0" collapsed="false">
      <c r="A77" s="11" t="s">
        <v>130</v>
      </c>
      <c r="B77" s="9" t="s">
        <v>141</v>
      </c>
      <c r="C77" s="10" t="s">
        <v>142</v>
      </c>
      <c r="D77" s="10" t="s">
        <v>325</v>
      </c>
      <c r="E77" s="11" t="s">
        <v>517</v>
      </c>
      <c r="F77" s="11" t="s">
        <v>126</v>
      </c>
      <c r="G77" s="10" t="s">
        <v>392</v>
      </c>
      <c r="H77" s="10" t="s">
        <v>414</v>
      </c>
      <c r="I77" s="11" t="n">
        <v>2</v>
      </c>
      <c r="J77" s="11" t="str">
        <f aca="false">IF(I77&gt;=4,"Completo","Parcial")</f>
        <v>Parcial</v>
      </c>
      <c r="K77" s="10" t="s">
        <v>639</v>
      </c>
    </row>
    <row r="78" customFormat="false" ht="35.05" hidden="false" customHeight="false" outlineLevel="0" collapsed="false">
      <c r="A78" s="11" t="s">
        <v>144</v>
      </c>
      <c r="B78" s="9" t="s">
        <v>145</v>
      </c>
      <c r="C78" s="10" t="s">
        <v>146</v>
      </c>
      <c r="D78" s="10" t="s">
        <v>325</v>
      </c>
      <c r="E78" s="11" t="s">
        <v>517</v>
      </c>
      <c r="F78" s="11" t="s">
        <v>147</v>
      </c>
      <c r="G78" s="10" t="s">
        <v>367</v>
      </c>
      <c r="H78" s="10" t="s">
        <v>640</v>
      </c>
      <c r="I78" s="11" t="n">
        <v>1</v>
      </c>
      <c r="J78" s="11" t="str">
        <f aca="false">IF(I78&gt;=4,"Completo","Parcial")</f>
        <v>Parcial</v>
      </c>
      <c r="K78" s="10" t="s">
        <v>641</v>
      </c>
    </row>
    <row r="79" customFormat="false" ht="35.05" hidden="false" customHeight="false" outlineLevel="0" collapsed="false">
      <c r="A79" s="11" t="s">
        <v>144</v>
      </c>
      <c r="B79" s="9" t="s">
        <v>148</v>
      </c>
      <c r="C79" s="10" t="s">
        <v>149</v>
      </c>
      <c r="D79" s="10" t="s">
        <v>325</v>
      </c>
      <c r="E79" s="11" t="s">
        <v>517</v>
      </c>
      <c r="F79" s="11" t="s">
        <v>150</v>
      </c>
      <c r="G79" s="10" t="s">
        <v>416</v>
      </c>
      <c r="H79" s="10" t="s">
        <v>642</v>
      </c>
      <c r="I79" s="11" t="n">
        <v>5</v>
      </c>
      <c r="J79" s="11" t="str">
        <f aca="false">IF(I79&gt;=4,"Completo","Parcial")</f>
        <v>Completo</v>
      </c>
      <c r="K79" s="10" t="s">
        <v>643</v>
      </c>
    </row>
    <row r="80" customFormat="false" ht="23.85" hidden="false" customHeight="false" outlineLevel="0" collapsed="false">
      <c r="A80" s="11" t="s">
        <v>144</v>
      </c>
      <c r="B80" s="9" t="s">
        <v>151</v>
      </c>
      <c r="C80" s="10" t="s">
        <v>152</v>
      </c>
      <c r="D80" s="10" t="s">
        <v>325</v>
      </c>
      <c r="E80" s="11" t="s">
        <v>517</v>
      </c>
      <c r="F80" s="11" t="s">
        <v>14</v>
      </c>
      <c r="G80" s="10" t="s">
        <v>395</v>
      </c>
      <c r="H80" s="10" t="s">
        <v>415</v>
      </c>
      <c r="I80" s="11" t="n">
        <v>4</v>
      </c>
      <c r="J80" s="11" t="str">
        <f aca="false">IF(I80&gt;=4,"Completo","Parcial")</f>
        <v>Completo</v>
      </c>
      <c r="K80" s="10" t="s">
        <v>644</v>
      </c>
    </row>
    <row r="81" customFormat="false" ht="35.05" hidden="false" customHeight="false" outlineLevel="0" collapsed="false">
      <c r="A81" s="11" t="s">
        <v>144</v>
      </c>
      <c r="B81" s="9" t="s">
        <v>151</v>
      </c>
      <c r="C81" s="10" t="s">
        <v>152</v>
      </c>
      <c r="D81" s="10" t="s">
        <v>325</v>
      </c>
      <c r="E81" s="11" t="s">
        <v>517</v>
      </c>
      <c r="F81" s="11" t="s">
        <v>150</v>
      </c>
      <c r="G81" s="10" t="s">
        <v>416</v>
      </c>
      <c r="H81" s="10" t="s">
        <v>417</v>
      </c>
      <c r="I81" s="11" t="n">
        <v>3</v>
      </c>
      <c r="J81" s="11" t="str">
        <f aca="false">IF(I81&gt;=4,"Completo","Parcial")</f>
        <v>Parcial</v>
      </c>
      <c r="K81" s="10" t="s">
        <v>645</v>
      </c>
    </row>
    <row r="82" customFormat="false" ht="23.85" hidden="false" customHeight="false" outlineLevel="0" collapsed="false">
      <c r="A82" s="11" t="s">
        <v>144</v>
      </c>
      <c r="B82" s="9" t="s">
        <v>154</v>
      </c>
      <c r="C82" s="10" t="s">
        <v>155</v>
      </c>
      <c r="D82" s="10" t="s">
        <v>325</v>
      </c>
      <c r="E82" s="11" t="s">
        <v>517</v>
      </c>
      <c r="F82" s="11" t="s">
        <v>14</v>
      </c>
      <c r="G82" s="10" t="s">
        <v>395</v>
      </c>
      <c r="H82" s="10" t="s">
        <v>418</v>
      </c>
      <c r="I82" s="11" t="n">
        <v>4</v>
      </c>
      <c r="J82" s="11" t="str">
        <f aca="false">IF(I82&gt;=4,"Completo","Parcial")</f>
        <v>Completo</v>
      </c>
      <c r="K82" s="10" t="s">
        <v>646</v>
      </c>
    </row>
    <row r="83" customFormat="false" ht="23.85" hidden="false" customHeight="false" outlineLevel="0" collapsed="false">
      <c r="A83" s="11" t="s">
        <v>144</v>
      </c>
      <c r="B83" s="9" t="s">
        <v>154</v>
      </c>
      <c r="C83" s="10" t="s">
        <v>155</v>
      </c>
      <c r="D83" s="10" t="s">
        <v>325</v>
      </c>
      <c r="E83" s="11" t="s">
        <v>517</v>
      </c>
      <c r="F83" s="11" t="s">
        <v>118</v>
      </c>
      <c r="G83" s="10" t="s">
        <v>419</v>
      </c>
      <c r="H83" s="10" t="s">
        <v>420</v>
      </c>
      <c r="I83" s="11" t="n">
        <v>2</v>
      </c>
      <c r="J83" s="11" t="str">
        <f aca="false">IF(I83&gt;=4,"Completo","Parcial")</f>
        <v>Parcial</v>
      </c>
      <c r="K83" s="10" t="s">
        <v>646</v>
      </c>
    </row>
    <row r="84" customFormat="false" ht="46.25" hidden="false" customHeight="false" outlineLevel="0" collapsed="false">
      <c r="A84" s="11" t="s">
        <v>144</v>
      </c>
      <c r="B84" s="9" t="s">
        <v>154</v>
      </c>
      <c r="C84" s="10" t="s">
        <v>155</v>
      </c>
      <c r="D84" s="10" t="s">
        <v>325</v>
      </c>
      <c r="E84" s="11" t="s">
        <v>517</v>
      </c>
      <c r="F84" s="11" t="s">
        <v>129</v>
      </c>
      <c r="G84" s="10" t="s">
        <v>360</v>
      </c>
      <c r="H84" s="10" t="s">
        <v>421</v>
      </c>
      <c r="I84" s="11" t="n">
        <v>4</v>
      </c>
      <c r="J84" s="11" t="str">
        <f aca="false">IF(I84&gt;=4,"Completo","Parcial")</f>
        <v>Completo</v>
      </c>
      <c r="K84" s="10" t="s">
        <v>647</v>
      </c>
    </row>
    <row r="85" customFormat="false" ht="35.05" hidden="false" customHeight="false" outlineLevel="0" collapsed="false">
      <c r="A85" s="11" t="s">
        <v>144</v>
      </c>
      <c r="B85" s="9" t="s">
        <v>157</v>
      </c>
      <c r="C85" s="10" t="s">
        <v>158</v>
      </c>
      <c r="D85" s="10" t="s">
        <v>325</v>
      </c>
      <c r="E85" s="11" t="s">
        <v>517</v>
      </c>
      <c r="F85" s="11" t="s">
        <v>159</v>
      </c>
      <c r="G85" s="10" t="s">
        <v>422</v>
      </c>
      <c r="H85" s="10" t="s">
        <v>423</v>
      </c>
      <c r="I85" s="11" t="n">
        <v>3</v>
      </c>
      <c r="J85" s="11" t="str">
        <f aca="false">IF(I85&gt;=4,"Completo","Parcial")</f>
        <v>Parcial</v>
      </c>
      <c r="K85" s="10" t="s">
        <v>648</v>
      </c>
    </row>
    <row r="86" customFormat="false" ht="35.05" hidden="false" customHeight="false" outlineLevel="0" collapsed="false">
      <c r="A86" s="11" t="s">
        <v>144</v>
      </c>
      <c r="B86" s="9" t="s">
        <v>157</v>
      </c>
      <c r="C86" s="10" t="s">
        <v>158</v>
      </c>
      <c r="D86" s="10" t="s">
        <v>424</v>
      </c>
      <c r="E86" s="11" t="s">
        <v>524</v>
      </c>
      <c r="F86" s="11" t="s">
        <v>159</v>
      </c>
      <c r="G86" s="10" t="s">
        <v>422</v>
      </c>
      <c r="H86" s="10" t="s">
        <v>425</v>
      </c>
      <c r="I86" s="11" t="n">
        <v>1</v>
      </c>
      <c r="J86" s="11" t="str">
        <f aca="false">IF(I86&gt;=4,"Completo","Parcial")</f>
        <v>Parcial</v>
      </c>
      <c r="K86" s="10" t="s">
        <v>649</v>
      </c>
    </row>
    <row r="87" customFormat="false" ht="35.05" hidden="false" customHeight="false" outlineLevel="0" collapsed="false">
      <c r="A87" s="11" t="s">
        <v>144</v>
      </c>
      <c r="B87" s="9" t="s">
        <v>157</v>
      </c>
      <c r="C87" s="10" t="s">
        <v>158</v>
      </c>
      <c r="D87" s="10" t="s">
        <v>426</v>
      </c>
      <c r="E87" s="11" t="s">
        <v>524</v>
      </c>
      <c r="F87" s="11" t="s">
        <v>129</v>
      </c>
      <c r="G87" s="10" t="s">
        <v>360</v>
      </c>
      <c r="H87" s="10" t="s">
        <v>427</v>
      </c>
      <c r="I87" s="11" t="n">
        <v>2</v>
      </c>
      <c r="J87" s="11" t="str">
        <f aca="false">IF(I87&gt;=4,"Completo","Parcial")</f>
        <v>Parcial</v>
      </c>
      <c r="K87" s="10" t="s">
        <v>650</v>
      </c>
    </row>
    <row r="88" customFormat="false" ht="35.05" hidden="false" customHeight="false" outlineLevel="0" collapsed="false">
      <c r="A88" s="11" t="s">
        <v>144</v>
      </c>
      <c r="B88" s="9" t="s">
        <v>161</v>
      </c>
      <c r="C88" s="10" t="s">
        <v>162</v>
      </c>
      <c r="D88" s="10" t="s">
        <v>325</v>
      </c>
      <c r="E88" s="11" t="s">
        <v>517</v>
      </c>
      <c r="F88" s="11" t="s">
        <v>159</v>
      </c>
      <c r="G88" s="10" t="s">
        <v>422</v>
      </c>
      <c r="H88" s="10" t="s">
        <v>651</v>
      </c>
      <c r="I88" s="11" t="n">
        <v>4</v>
      </c>
      <c r="J88" s="11" t="str">
        <f aca="false">IF(I88&gt;=4,"Completo","Parcial")</f>
        <v>Completo</v>
      </c>
      <c r="K88" s="10" t="s">
        <v>652</v>
      </c>
    </row>
    <row r="89" customFormat="false" ht="35.05" hidden="false" customHeight="false" outlineLevel="0" collapsed="false">
      <c r="A89" s="11" t="s">
        <v>144</v>
      </c>
      <c r="B89" s="9" t="s">
        <v>163</v>
      </c>
      <c r="C89" s="10" t="s">
        <v>164</v>
      </c>
      <c r="D89" s="10" t="s">
        <v>325</v>
      </c>
      <c r="E89" s="11" t="s">
        <v>517</v>
      </c>
      <c r="F89" s="11" t="s">
        <v>159</v>
      </c>
      <c r="G89" s="10" t="s">
        <v>422</v>
      </c>
      <c r="H89" s="10" t="s">
        <v>653</v>
      </c>
      <c r="I89" s="11" t="n">
        <v>3</v>
      </c>
      <c r="J89" s="11" t="str">
        <f aca="false">IF(I89&gt;=4,"Completo","Parcial")</f>
        <v>Parcial</v>
      </c>
      <c r="K89" s="10" t="s">
        <v>654</v>
      </c>
    </row>
    <row r="90" customFormat="false" ht="35.05" hidden="false" customHeight="false" outlineLevel="0" collapsed="false">
      <c r="A90" s="11" t="s">
        <v>165</v>
      </c>
      <c r="B90" s="9" t="s">
        <v>166</v>
      </c>
      <c r="C90" s="10" t="s">
        <v>167</v>
      </c>
      <c r="D90" s="10" t="s">
        <v>325</v>
      </c>
      <c r="E90" s="11" t="s">
        <v>517</v>
      </c>
      <c r="F90" s="11" t="s">
        <v>252</v>
      </c>
      <c r="G90" s="10" t="s">
        <v>428</v>
      </c>
      <c r="H90" s="10" t="s">
        <v>429</v>
      </c>
      <c r="I90" s="11" t="n">
        <v>1</v>
      </c>
      <c r="J90" s="11" t="str">
        <f aca="false">IF(I90&gt;=4,"Completo","Parcial")</f>
        <v>Parcial</v>
      </c>
      <c r="K90" s="10" t="s">
        <v>655</v>
      </c>
    </row>
    <row r="91" customFormat="false" ht="68.65" hidden="false" customHeight="false" outlineLevel="0" collapsed="false">
      <c r="A91" s="11" t="s">
        <v>165</v>
      </c>
      <c r="B91" s="9" t="s">
        <v>166</v>
      </c>
      <c r="C91" s="10" t="s">
        <v>167</v>
      </c>
      <c r="D91" s="10" t="s">
        <v>325</v>
      </c>
      <c r="E91" s="11" t="s">
        <v>517</v>
      </c>
      <c r="F91" s="11" t="s">
        <v>171</v>
      </c>
      <c r="G91" s="10" t="s">
        <v>430</v>
      </c>
      <c r="H91" s="10" t="s">
        <v>431</v>
      </c>
      <c r="I91" s="11" t="n">
        <v>9</v>
      </c>
      <c r="J91" s="11" t="str">
        <f aca="false">IF(I91&gt;=4,"Completo","Parcial")</f>
        <v>Completo</v>
      </c>
      <c r="K91" s="10" t="s">
        <v>656</v>
      </c>
    </row>
    <row r="92" customFormat="false" ht="35.05" hidden="false" customHeight="false" outlineLevel="0" collapsed="false">
      <c r="A92" s="11" t="s">
        <v>165</v>
      </c>
      <c r="B92" s="9" t="s">
        <v>169</v>
      </c>
      <c r="C92" s="10" t="s">
        <v>170</v>
      </c>
      <c r="D92" s="10" t="s">
        <v>325</v>
      </c>
      <c r="E92" s="11" t="s">
        <v>517</v>
      </c>
      <c r="F92" s="11" t="s">
        <v>171</v>
      </c>
      <c r="G92" s="10" t="s">
        <v>430</v>
      </c>
      <c r="H92" s="10" t="s">
        <v>657</v>
      </c>
      <c r="I92" s="11" t="n">
        <v>3</v>
      </c>
      <c r="J92" s="11" t="str">
        <f aca="false">IF(I92&gt;=4,"Completo","Parcial")</f>
        <v>Parcial</v>
      </c>
      <c r="K92" s="10" t="s">
        <v>658</v>
      </c>
    </row>
    <row r="93" customFormat="false" ht="35.05" hidden="false" customHeight="false" outlineLevel="0" collapsed="false">
      <c r="A93" s="11" t="s">
        <v>165</v>
      </c>
      <c r="B93" s="9" t="s">
        <v>172</v>
      </c>
      <c r="C93" s="10" t="s">
        <v>173</v>
      </c>
      <c r="D93" s="10" t="s">
        <v>325</v>
      </c>
      <c r="E93" s="11" t="s">
        <v>517</v>
      </c>
      <c r="F93" s="11" t="s">
        <v>171</v>
      </c>
      <c r="G93" s="10" t="s">
        <v>430</v>
      </c>
      <c r="H93" s="10" t="s">
        <v>659</v>
      </c>
      <c r="I93" s="11" t="n">
        <v>2</v>
      </c>
      <c r="J93" s="11" t="str">
        <f aca="false">IF(I93&gt;=4,"Completo","Parcial")</f>
        <v>Parcial</v>
      </c>
      <c r="K93" s="10" t="s">
        <v>660</v>
      </c>
    </row>
    <row r="94" customFormat="false" ht="35.05" hidden="false" customHeight="false" outlineLevel="0" collapsed="false">
      <c r="A94" s="11" t="s">
        <v>165</v>
      </c>
      <c r="B94" s="9" t="s">
        <v>174</v>
      </c>
      <c r="C94" s="10" t="s">
        <v>175</v>
      </c>
      <c r="D94" s="10" t="s">
        <v>325</v>
      </c>
      <c r="E94" s="11" t="s">
        <v>517</v>
      </c>
      <c r="F94" s="11" t="s">
        <v>176</v>
      </c>
      <c r="G94" s="10" t="s">
        <v>336</v>
      </c>
      <c r="H94" s="10" t="s">
        <v>661</v>
      </c>
      <c r="I94" s="11" t="n">
        <v>3</v>
      </c>
      <c r="J94" s="11" t="str">
        <f aca="false">IF(I94&gt;=4,"Completo","Parcial")</f>
        <v>Parcial</v>
      </c>
      <c r="K94" s="10" t="s">
        <v>662</v>
      </c>
    </row>
    <row r="95" customFormat="false" ht="35.05" hidden="false" customHeight="false" outlineLevel="0" collapsed="false">
      <c r="A95" s="11" t="s">
        <v>165</v>
      </c>
      <c r="B95" s="9" t="s">
        <v>177</v>
      </c>
      <c r="C95" s="10" t="s">
        <v>178</v>
      </c>
      <c r="D95" s="10" t="s">
        <v>325</v>
      </c>
      <c r="E95" s="11" t="s">
        <v>517</v>
      </c>
      <c r="F95" s="11" t="s">
        <v>176</v>
      </c>
      <c r="G95" s="10" t="s">
        <v>336</v>
      </c>
      <c r="H95" s="10" t="s">
        <v>432</v>
      </c>
      <c r="I95" s="11" t="n">
        <v>10</v>
      </c>
      <c r="J95" s="11" t="str">
        <f aca="false">IF(I95&gt;=4,"Completo","Parcial")</f>
        <v>Completo</v>
      </c>
      <c r="K95" s="10" t="s">
        <v>663</v>
      </c>
    </row>
    <row r="96" customFormat="false" ht="35.05" hidden="false" customHeight="false" outlineLevel="0" collapsed="false">
      <c r="A96" s="11" t="s">
        <v>165</v>
      </c>
      <c r="B96" s="9" t="s">
        <v>177</v>
      </c>
      <c r="C96" s="10" t="s">
        <v>178</v>
      </c>
      <c r="D96" s="10" t="s">
        <v>434</v>
      </c>
      <c r="E96" s="11" t="s">
        <v>524</v>
      </c>
      <c r="F96" s="11" t="s">
        <v>309</v>
      </c>
      <c r="G96" s="10" t="s">
        <v>433</v>
      </c>
      <c r="H96" s="10" t="s">
        <v>435</v>
      </c>
      <c r="I96" s="11" t="n">
        <v>35</v>
      </c>
      <c r="J96" s="11" t="str">
        <f aca="false">IF(I96&gt;=4,"Completo","Parcial")</f>
        <v>Completo</v>
      </c>
      <c r="K96" s="10" t="s">
        <v>664</v>
      </c>
    </row>
    <row r="97" customFormat="false" ht="35.05" hidden="false" customHeight="false" outlineLevel="0" collapsed="false">
      <c r="A97" s="11" t="s">
        <v>165</v>
      </c>
      <c r="B97" s="9" t="s">
        <v>177</v>
      </c>
      <c r="C97" s="10" t="s">
        <v>178</v>
      </c>
      <c r="D97" s="10" t="s">
        <v>436</v>
      </c>
      <c r="E97" s="11" t="s">
        <v>524</v>
      </c>
      <c r="F97" s="11" t="s">
        <v>176</v>
      </c>
      <c r="G97" s="10" t="s">
        <v>336</v>
      </c>
      <c r="H97" s="10" t="s">
        <v>437</v>
      </c>
      <c r="I97" s="11" t="n">
        <v>2</v>
      </c>
      <c r="J97" s="11" t="str">
        <f aca="false">IF(I97&gt;=4,"Completo","Parcial")</f>
        <v>Parcial</v>
      </c>
      <c r="K97" s="10" t="s">
        <v>665</v>
      </c>
    </row>
    <row r="98" customFormat="false" ht="35.05" hidden="false" customHeight="false" outlineLevel="0" collapsed="false">
      <c r="A98" s="11" t="s">
        <v>165</v>
      </c>
      <c r="B98" s="9" t="s">
        <v>177</v>
      </c>
      <c r="C98" s="10" t="s">
        <v>178</v>
      </c>
      <c r="D98" s="10" t="s">
        <v>436</v>
      </c>
      <c r="E98" s="11" t="s">
        <v>524</v>
      </c>
      <c r="F98" s="11" t="s">
        <v>309</v>
      </c>
      <c r="G98" s="10" t="s">
        <v>433</v>
      </c>
      <c r="H98" s="10" t="s">
        <v>438</v>
      </c>
      <c r="I98" s="11" t="n">
        <v>43</v>
      </c>
      <c r="J98" s="11" t="str">
        <f aca="false">IF(I98&gt;=4,"Completo","Parcial")</f>
        <v>Completo</v>
      </c>
      <c r="K98" s="10" t="s">
        <v>666</v>
      </c>
    </row>
    <row r="99" customFormat="false" ht="35.05" hidden="false" customHeight="false" outlineLevel="0" collapsed="false">
      <c r="A99" s="11" t="s">
        <v>165</v>
      </c>
      <c r="B99" s="9" t="s">
        <v>177</v>
      </c>
      <c r="C99" s="10" t="s">
        <v>178</v>
      </c>
      <c r="D99" s="10" t="s">
        <v>436</v>
      </c>
      <c r="E99" s="11" t="s">
        <v>524</v>
      </c>
      <c r="F99" s="11" t="s">
        <v>182</v>
      </c>
      <c r="G99" s="10" t="s">
        <v>439</v>
      </c>
      <c r="H99" s="10" t="s">
        <v>440</v>
      </c>
      <c r="I99" s="11" t="n">
        <v>1</v>
      </c>
      <c r="J99" s="11" t="str">
        <f aca="false">IF(I99&gt;=4,"Completo","Parcial")</f>
        <v>Parcial</v>
      </c>
      <c r="K99" s="10" t="s">
        <v>667</v>
      </c>
    </row>
    <row r="100" customFormat="false" ht="35.05" hidden="false" customHeight="false" outlineLevel="0" collapsed="false">
      <c r="A100" s="11" t="s">
        <v>165</v>
      </c>
      <c r="B100" s="9" t="s">
        <v>180</v>
      </c>
      <c r="C100" s="10" t="s">
        <v>181</v>
      </c>
      <c r="D100" s="10" t="s">
        <v>325</v>
      </c>
      <c r="E100" s="11" t="s">
        <v>517</v>
      </c>
      <c r="F100" s="11" t="s">
        <v>182</v>
      </c>
      <c r="G100" s="10" t="s">
        <v>439</v>
      </c>
      <c r="H100" s="10" t="s">
        <v>668</v>
      </c>
      <c r="I100" s="11" t="n">
        <v>3</v>
      </c>
      <c r="J100" s="11" t="str">
        <f aca="false">IF(I100&gt;=4,"Completo","Parcial")</f>
        <v>Parcial</v>
      </c>
      <c r="K100" s="10" t="s">
        <v>669</v>
      </c>
    </row>
    <row r="101" customFormat="false" ht="35.05" hidden="false" customHeight="false" outlineLevel="0" collapsed="false">
      <c r="A101" s="11" t="s">
        <v>183</v>
      </c>
      <c r="B101" s="9" t="s">
        <v>184</v>
      </c>
      <c r="C101" s="10" t="s">
        <v>185</v>
      </c>
      <c r="D101" s="10" t="s">
        <v>325</v>
      </c>
      <c r="E101" s="11" t="s">
        <v>517</v>
      </c>
      <c r="F101" s="11" t="s">
        <v>186</v>
      </c>
      <c r="G101" s="10" t="s">
        <v>442</v>
      </c>
      <c r="H101" s="10" t="s">
        <v>670</v>
      </c>
      <c r="I101" s="11" t="n">
        <v>1</v>
      </c>
      <c r="J101" s="11" t="str">
        <f aca="false">IF(I101&gt;=4,"Completo","Parcial")</f>
        <v>Parcial</v>
      </c>
      <c r="K101" s="10" t="s">
        <v>671</v>
      </c>
    </row>
    <row r="102" customFormat="false" ht="23.85" hidden="false" customHeight="false" outlineLevel="0" collapsed="false">
      <c r="A102" s="11" t="s">
        <v>183</v>
      </c>
      <c r="B102" s="9" t="s">
        <v>187</v>
      </c>
      <c r="C102" s="10" t="s">
        <v>188</v>
      </c>
      <c r="D102" s="10" t="s">
        <v>325</v>
      </c>
      <c r="E102" s="11" t="s">
        <v>517</v>
      </c>
      <c r="F102" s="11" t="s">
        <v>186</v>
      </c>
      <c r="G102" s="10" t="s">
        <v>442</v>
      </c>
      <c r="H102" s="10" t="s">
        <v>672</v>
      </c>
      <c r="I102" s="11" t="n">
        <v>1</v>
      </c>
      <c r="J102" s="11" t="str">
        <f aca="false">IF(I102&gt;=4,"Completo","Parcial")</f>
        <v>Parcial</v>
      </c>
      <c r="K102" s="10" t="s">
        <v>673</v>
      </c>
    </row>
    <row r="103" customFormat="false" ht="23.85" hidden="false" customHeight="false" outlineLevel="0" collapsed="false">
      <c r="A103" s="11" t="s">
        <v>183</v>
      </c>
      <c r="B103" s="9" t="s">
        <v>189</v>
      </c>
      <c r="C103" s="10" t="s">
        <v>190</v>
      </c>
      <c r="D103" s="10" t="s">
        <v>325</v>
      </c>
      <c r="E103" s="11" t="s">
        <v>517</v>
      </c>
      <c r="F103" s="11" t="s">
        <v>129</v>
      </c>
      <c r="G103" s="10" t="s">
        <v>360</v>
      </c>
      <c r="H103" s="10" t="s">
        <v>441</v>
      </c>
      <c r="I103" s="11" t="n">
        <v>1</v>
      </c>
      <c r="J103" s="11" t="str">
        <f aca="false">IF(I103&gt;=4,"Completo","Parcial")</f>
        <v>Parcial</v>
      </c>
      <c r="K103" s="10" t="s">
        <v>674</v>
      </c>
    </row>
    <row r="104" customFormat="false" ht="35.05" hidden="false" customHeight="false" outlineLevel="0" collapsed="false">
      <c r="A104" s="11" t="s">
        <v>183</v>
      </c>
      <c r="B104" s="9" t="s">
        <v>189</v>
      </c>
      <c r="C104" s="10" t="s">
        <v>190</v>
      </c>
      <c r="D104" s="10" t="s">
        <v>443</v>
      </c>
      <c r="E104" s="11" t="s">
        <v>524</v>
      </c>
      <c r="F104" s="11" t="s">
        <v>186</v>
      </c>
      <c r="G104" s="10" t="s">
        <v>442</v>
      </c>
      <c r="H104" s="10" t="s">
        <v>444</v>
      </c>
      <c r="I104" s="11" t="n">
        <v>1</v>
      </c>
      <c r="J104" s="11" t="str">
        <f aca="false">IF(I104&gt;=4,"Completo","Parcial")</f>
        <v>Parcial</v>
      </c>
      <c r="K104" s="10" t="s">
        <v>675</v>
      </c>
    </row>
    <row r="105" customFormat="false" ht="35.05" hidden="false" customHeight="false" outlineLevel="0" collapsed="false">
      <c r="A105" s="11" t="s">
        <v>183</v>
      </c>
      <c r="B105" s="9" t="s">
        <v>192</v>
      </c>
      <c r="C105" s="10" t="s">
        <v>193</v>
      </c>
      <c r="D105" s="10" t="s">
        <v>325</v>
      </c>
      <c r="E105" s="11" t="s">
        <v>517</v>
      </c>
      <c r="F105" s="11" t="s">
        <v>194</v>
      </c>
      <c r="G105" s="10" t="s">
        <v>365</v>
      </c>
      <c r="H105" s="10" t="s">
        <v>676</v>
      </c>
      <c r="I105" s="11" t="n">
        <v>6</v>
      </c>
      <c r="J105" s="11" t="str">
        <f aca="false">IF(I105&gt;=4,"Completo","Parcial")</f>
        <v>Completo</v>
      </c>
      <c r="K105" s="10" t="s">
        <v>677</v>
      </c>
    </row>
    <row r="106" customFormat="false" ht="35.05" hidden="false" customHeight="false" outlineLevel="0" collapsed="false">
      <c r="A106" s="11" t="s">
        <v>183</v>
      </c>
      <c r="B106" s="9" t="s">
        <v>192</v>
      </c>
      <c r="C106" s="10" t="s">
        <v>193</v>
      </c>
      <c r="D106" s="10" t="s">
        <v>678</v>
      </c>
      <c r="E106" s="11" t="s">
        <v>524</v>
      </c>
      <c r="F106" s="11" t="s">
        <v>194</v>
      </c>
      <c r="G106" s="10" t="s">
        <v>365</v>
      </c>
      <c r="H106" s="10" t="s">
        <v>679</v>
      </c>
      <c r="I106" s="11" t="n">
        <v>4</v>
      </c>
      <c r="J106" s="11" t="str">
        <f aca="false">IF(I106&gt;=4,"Completo","Parcial")</f>
        <v>Completo</v>
      </c>
      <c r="K106" s="10" t="s">
        <v>680</v>
      </c>
    </row>
    <row r="107" customFormat="false" ht="35.05" hidden="false" customHeight="false" outlineLevel="0" collapsed="false">
      <c r="A107" s="11" t="s">
        <v>183</v>
      </c>
      <c r="B107" s="9" t="s">
        <v>196</v>
      </c>
      <c r="C107" s="10" t="s">
        <v>197</v>
      </c>
      <c r="D107" s="10" t="s">
        <v>325</v>
      </c>
      <c r="E107" s="11" t="s">
        <v>517</v>
      </c>
      <c r="F107" s="11" t="s">
        <v>186</v>
      </c>
      <c r="G107" s="10" t="s">
        <v>442</v>
      </c>
      <c r="H107" s="10" t="s">
        <v>445</v>
      </c>
      <c r="I107" s="11" t="n">
        <v>2</v>
      </c>
      <c r="J107" s="11" t="str">
        <f aca="false">IF(I107&gt;=4,"Completo","Parcial")</f>
        <v>Parcial</v>
      </c>
      <c r="K107" s="10" t="s">
        <v>681</v>
      </c>
    </row>
    <row r="108" customFormat="false" ht="15" hidden="false" customHeight="false" outlineLevel="0" collapsed="false">
      <c r="A108" s="11" t="s">
        <v>183</v>
      </c>
      <c r="B108" s="9" t="s">
        <v>196</v>
      </c>
      <c r="C108" s="10" t="s">
        <v>197</v>
      </c>
      <c r="D108" s="10" t="s">
        <v>446</v>
      </c>
      <c r="E108" s="11" t="s">
        <v>524</v>
      </c>
      <c r="F108" s="11" t="s">
        <v>186</v>
      </c>
      <c r="G108" s="10" t="s">
        <v>442</v>
      </c>
      <c r="H108" s="10" t="s">
        <v>447</v>
      </c>
      <c r="I108" s="11" t="n">
        <v>1</v>
      </c>
      <c r="J108" s="11" t="str">
        <f aca="false">IF(I108&gt;=4,"Completo","Parcial")</f>
        <v>Parcial</v>
      </c>
      <c r="K108" s="10" t="s">
        <v>682</v>
      </c>
    </row>
    <row r="109" customFormat="false" ht="35.05" hidden="false" customHeight="false" outlineLevel="0" collapsed="false">
      <c r="A109" s="11" t="s">
        <v>183</v>
      </c>
      <c r="B109" s="9" t="s">
        <v>196</v>
      </c>
      <c r="C109" s="10" t="s">
        <v>197</v>
      </c>
      <c r="D109" s="10" t="s">
        <v>446</v>
      </c>
      <c r="E109" s="11" t="s">
        <v>524</v>
      </c>
      <c r="F109" s="11" t="s">
        <v>194</v>
      </c>
      <c r="G109" s="10" t="s">
        <v>365</v>
      </c>
      <c r="H109" s="10" t="s">
        <v>445</v>
      </c>
      <c r="I109" s="11" t="n">
        <v>2</v>
      </c>
      <c r="J109" s="11" t="str">
        <f aca="false">IF(I109&gt;=4,"Completo","Parcial")</f>
        <v>Parcial</v>
      </c>
      <c r="K109" s="10" t="s">
        <v>681</v>
      </c>
    </row>
    <row r="110" customFormat="false" ht="35.05" hidden="false" customHeight="false" outlineLevel="0" collapsed="false">
      <c r="A110" s="11" t="s">
        <v>183</v>
      </c>
      <c r="B110" s="9" t="s">
        <v>199</v>
      </c>
      <c r="C110" s="10" t="s">
        <v>200</v>
      </c>
      <c r="D110" s="10" t="s">
        <v>325</v>
      </c>
      <c r="E110" s="11" t="s">
        <v>517</v>
      </c>
      <c r="F110" s="11" t="s">
        <v>201</v>
      </c>
      <c r="G110" s="10" t="s">
        <v>448</v>
      </c>
      <c r="H110" s="10" t="s">
        <v>449</v>
      </c>
      <c r="I110" s="11" t="n">
        <v>1</v>
      </c>
      <c r="J110" s="11" t="str">
        <f aca="false">IF(I110&gt;=4,"Completo","Parcial")</f>
        <v>Parcial</v>
      </c>
      <c r="K110" s="10" t="s">
        <v>683</v>
      </c>
    </row>
    <row r="111" customFormat="false" ht="46.25" hidden="false" customHeight="false" outlineLevel="0" collapsed="false">
      <c r="A111" s="11" t="s">
        <v>183</v>
      </c>
      <c r="B111" s="9" t="s">
        <v>199</v>
      </c>
      <c r="C111" s="10" t="s">
        <v>200</v>
      </c>
      <c r="D111" s="10" t="s">
        <v>450</v>
      </c>
      <c r="E111" s="11" t="s">
        <v>524</v>
      </c>
      <c r="F111" s="11" t="s">
        <v>201</v>
      </c>
      <c r="G111" s="10" t="s">
        <v>448</v>
      </c>
      <c r="H111" s="10" t="s">
        <v>451</v>
      </c>
      <c r="I111" s="11" t="n">
        <v>8</v>
      </c>
      <c r="J111" s="11" t="str">
        <f aca="false">IF(I111&gt;=4,"Completo","Parcial")</f>
        <v>Completo</v>
      </c>
      <c r="K111" s="10" t="s">
        <v>684</v>
      </c>
    </row>
    <row r="112" customFormat="false" ht="35.05" hidden="false" customHeight="false" outlineLevel="0" collapsed="false">
      <c r="A112" s="11" t="s">
        <v>183</v>
      </c>
      <c r="B112" s="9" t="s">
        <v>199</v>
      </c>
      <c r="C112" s="10" t="s">
        <v>200</v>
      </c>
      <c r="D112" s="10" t="s">
        <v>450</v>
      </c>
      <c r="E112" s="11" t="s">
        <v>524</v>
      </c>
      <c r="F112" s="11" t="s">
        <v>86</v>
      </c>
      <c r="G112" s="10" t="s">
        <v>382</v>
      </c>
      <c r="H112" s="10" t="s">
        <v>452</v>
      </c>
      <c r="I112" s="11" t="n">
        <v>2</v>
      </c>
      <c r="J112" s="11" t="str">
        <f aca="false">IF(I112&gt;=4,"Completo","Parcial")</f>
        <v>Parcial</v>
      </c>
      <c r="K112" s="10" t="s">
        <v>685</v>
      </c>
    </row>
    <row r="113" customFormat="false" ht="35.05" hidden="false" customHeight="false" outlineLevel="0" collapsed="false">
      <c r="A113" s="11" t="s">
        <v>183</v>
      </c>
      <c r="B113" s="9" t="s">
        <v>203</v>
      </c>
      <c r="C113" s="10" t="s">
        <v>204</v>
      </c>
      <c r="D113" s="10" t="s">
        <v>325</v>
      </c>
      <c r="E113" s="11" t="s">
        <v>517</v>
      </c>
      <c r="F113" s="11" t="s">
        <v>205</v>
      </c>
      <c r="G113" s="10" t="s">
        <v>686</v>
      </c>
      <c r="H113" s="10" t="s">
        <v>687</v>
      </c>
      <c r="I113" s="11" t="n">
        <v>4</v>
      </c>
      <c r="J113" s="11" t="str">
        <f aca="false">IF(I113&gt;=4,"Completo","Parcial")</f>
        <v>Completo</v>
      </c>
      <c r="K113" s="10" t="s">
        <v>688</v>
      </c>
    </row>
    <row r="114" customFormat="false" ht="35.05" hidden="false" customHeight="false" outlineLevel="0" collapsed="false">
      <c r="A114" s="11" t="s">
        <v>183</v>
      </c>
      <c r="B114" s="9" t="s">
        <v>206</v>
      </c>
      <c r="C114" s="10" t="s">
        <v>207</v>
      </c>
      <c r="D114" s="10" t="s">
        <v>689</v>
      </c>
      <c r="E114" s="11" t="s">
        <v>524</v>
      </c>
      <c r="F114" s="11" t="s">
        <v>205</v>
      </c>
      <c r="G114" s="10" t="s">
        <v>686</v>
      </c>
      <c r="H114" s="10" t="s">
        <v>690</v>
      </c>
      <c r="I114" s="11" t="n">
        <v>4</v>
      </c>
      <c r="J114" s="11" t="str">
        <f aca="false">IF(I114&gt;=4,"Completo","Parcial")</f>
        <v>Completo</v>
      </c>
      <c r="K114" s="10" t="s">
        <v>691</v>
      </c>
    </row>
    <row r="115" customFormat="false" ht="35.05" hidden="false" customHeight="false" outlineLevel="0" collapsed="false">
      <c r="A115" s="11" t="s">
        <v>183</v>
      </c>
      <c r="B115" s="9" t="s">
        <v>209</v>
      </c>
      <c r="C115" s="10" t="s">
        <v>210</v>
      </c>
      <c r="D115" s="10" t="s">
        <v>325</v>
      </c>
      <c r="E115" s="11" t="s">
        <v>517</v>
      </c>
      <c r="F115" s="11" t="s">
        <v>205</v>
      </c>
      <c r="G115" s="10" t="s">
        <v>686</v>
      </c>
      <c r="H115" s="10" t="s">
        <v>692</v>
      </c>
      <c r="I115" s="11" t="n">
        <v>4</v>
      </c>
      <c r="J115" s="11" t="str">
        <f aca="false">IF(I115&gt;=4,"Completo","Parcial")</f>
        <v>Completo</v>
      </c>
      <c r="K115" s="10" t="s">
        <v>693</v>
      </c>
    </row>
    <row r="116" customFormat="false" ht="68.65" hidden="false" customHeight="false" outlineLevel="0" collapsed="false">
      <c r="A116" s="11" t="s">
        <v>211</v>
      </c>
      <c r="B116" s="9" t="s">
        <v>212</v>
      </c>
      <c r="C116" s="10" t="s">
        <v>213</v>
      </c>
      <c r="D116" s="10" t="s">
        <v>325</v>
      </c>
      <c r="E116" s="11" t="s">
        <v>517</v>
      </c>
      <c r="F116" s="11" t="s">
        <v>214</v>
      </c>
      <c r="G116" s="10" t="s">
        <v>457</v>
      </c>
      <c r="H116" s="10" t="s">
        <v>694</v>
      </c>
      <c r="I116" s="11" t="n">
        <v>12</v>
      </c>
      <c r="J116" s="11" t="str">
        <f aca="false">IF(I116&gt;=4,"Completo","Parcial")</f>
        <v>Completo</v>
      </c>
      <c r="K116" s="10" t="s">
        <v>695</v>
      </c>
    </row>
    <row r="117" customFormat="false" ht="35.05" hidden="false" customHeight="false" outlineLevel="0" collapsed="false">
      <c r="A117" s="11" t="s">
        <v>211</v>
      </c>
      <c r="B117" s="9" t="s">
        <v>212</v>
      </c>
      <c r="C117" s="10" t="s">
        <v>213</v>
      </c>
      <c r="D117" s="10" t="s">
        <v>696</v>
      </c>
      <c r="E117" s="11" t="s">
        <v>524</v>
      </c>
      <c r="F117" s="11" t="s">
        <v>214</v>
      </c>
      <c r="G117" s="10" t="s">
        <v>457</v>
      </c>
      <c r="H117" s="10" t="s">
        <v>697</v>
      </c>
      <c r="I117" s="11" t="n">
        <v>5</v>
      </c>
      <c r="J117" s="11" t="str">
        <f aca="false">IF(I117&gt;=4,"Completo","Parcial")</f>
        <v>Completo</v>
      </c>
      <c r="K117" s="10" t="s">
        <v>698</v>
      </c>
    </row>
    <row r="118" customFormat="false" ht="35.05" hidden="false" customHeight="false" outlineLevel="0" collapsed="false">
      <c r="A118" s="11" t="s">
        <v>211</v>
      </c>
      <c r="B118" s="9" t="s">
        <v>216</v>
      </c>
      <c r="C118" s="10" t="s">
        <v>217</v>
      </c>
      <c r="D118" s="10" t="s">
        <v>325</v>
      </c>
      <c r="E118" s="11" t="s">
        <v>517</v>
      </c>
      <c r="F118" s="11" t="s">
        <v>230</v>
      </c>
      <c r="G118" s="10" t="s">
        <v>403</v>
      </c>
      <c r="H118" s="10" t="s">
        <v>453</v>
      </c>
      <c r="I118" s="11" t="n">
        <v>1</v>
      </c>
      <c r="J118" s="11" t="str">
        <f aca="false">IF(I118&gt;=4,"Completo","Parcial")</f>
        <v>Parcial</v>
      </c>
      <c r="K118" s="10" t="s">
        <v>699</v>
      </c>
    </row>
    <row r="119" customFormat="false" ht="35.05" hidden="false" customHeight="false" outlineLevel="0" collapsed="false">
      <c r="A119" s="11" t="s">
        <v>211</v>
      </c>
      <c r="B119" s="9" t="s">
        <v>216</v>
      </c>
      <c r="C119" s="10" t="s">
        <v>217</v>
      </c>
      <c r="D119" s="10" t="s">
        <v>325</v>
      </c>
      <c r="E119" s="11" t="s">
        <v>517</v>
      </c>
      <c r="F119" s="11" t="s">
        <v>454</v>
      </c>
      <c r="G119" s="10" t="s">
        <v>455</v>
      </c>
      <c r="H119" s="10" t="s">
        <v>456</v>
      </c>
      <c r="I119" s="11" t="n">
        <v>1</v>
      </c>
      <c r="J119" s="11" t="str">
        <f aca="false">IF(I119&gt;=4,"Completo","Parcial")</f>
        <v>Parcial</v>
      </c>
      <c r="K119" s="10" t="s">
        <v>700</v>
      </c>
    </row>
    <row r="120" customFormat="false" ht="46.25" hidden="false" customHeight="false" outlineLevel="0" collapsed="false">
      <c r="A120" s="11" t="s">
        <v>211</v>
      </c>
      <c r="B120" s="9" t="s">
        <v>216</v>
      </c>
      <c r="C120" s="10" t="s">
        <v>217</v>
      </c>
      <c r="D120" s="10" t="s">
        <v>325</v>
      </c>
      <c r="E120" s="11" t="s">
        <v>517</v>
      </c>
      <c r="F120" s="11" t="s">
        <v>214</v>
      </c>
      <c r="G120" s="10" t="s">
        <v>457</v>
      </c>
      <c r="H120" s="10" t="s">
        <v>458</v>
      </c>
      <c r="I120" s="11" t="n">
        <v>15</v>
      </c>
      <c r="J120" s="11" t="str">
        <f aca="false">IF(I120&gt;=4,"Completo","Parcial")</f>
        <v>Completo</v>
      </c>
      <c r="K120" s="10" t="s">
        <v>701</v>
      </c>
    </row>
    <row r="121" customFormat="false" ht="35.05" hidden="false" customHeight="false" outlineLevel="0" collapsed="false">
      <c r="A121" s="11" t="s">
        <v>211</v>
      </c>
      <c r="B121" s="9" t="s">
        <v>219</v>
      </c>
      <c r="C121" s="10" t="s">
        <v>220</v>
      </c>
      <c r="D121" s="10" t="s">
        <v>325</v>
      </c>
      <c r="E121" s="11" t="s">
        <v>517</v>
      </c>
      <c r="F121" s="11" t="s">
        <v>214</v>
      </c>
      <c r="G121" s="10" t="s">
        <v>457</v>
      </c>
      <c r="H121" s="10" t="s">
        <v>702</v>
      </c>
      <c r="I121" s="11" t="n">
        <v>13</v>
      </c>
      <c r="J121" s="11" t="str">
        <f aca="false">IF(I121&gt;=4,"Completo","Parcial")</f>
        <v>Completo</v>
      </c>
      <c r="K121" s="10" t="s">
        <v>703</v>
      </c>
    </row>
    <row r="122" customFormat="false" ht="35.05" hidden="false" customHeight="false" outlineLevel="0" collapsed="false">
      <c r="A122" s="11" t="s">
        <v>211</v>
      </c>
      <c r="B122" s="9" t="s">
        <v>221</v>
      </c>
      <c r="C122" s="10" t="s">
        <v>222</v>
      </c>
      <c r="D122" s="10" t="s">
        <v>325</v>
      </c>
      <c r="E122" s="11" t="s">
        <v>517</v>
      </c>
      <c r="F122" s="11" t="s">
        <v>223</v>
      </c>
      <c r="G122" s="10" t="s">
        <v>704</v>
      </c>
      <c r="H122" s="10" t="s">
        <v>705</v>
      </c>
      <c r="I122" s="11" t="n">
        <v>6</v>
      </c>
      <c r="J122" s="11" t="str">
        <f aca="false">IF(I122&gt;=4,"Completo","Parcial")</f>
        <v>Completo</v>
      </c>
      <c r="K122" s="10" t="s">
        <v>706</v>
      </c>
    </row>
    <row r="123" customFormat="false" ht="23.85" hidden="false" customHeight="false" outlineLevel="0" collapsed="false">
      <c r="A123" s="11" t="s">
        <v>211</v>
      </c>
      <c r="B123" s="9" t="s">
        <v>224</v>
      </c>
      <c r="C123" s="10" t="s">
        <v>225</v>
      </c>
      <c r="D123" s="10" t="s">
        <v>325</v>
      </c>
      <c r="E123" s="11" t="s">
        <v>517</v>
      </c>
      <c r="F123" s="11" t="s">
        <v>226</v>
      </c>
      <c r="G123" s="10" t="s">
        <v>507</v>
      </c>
      <c r="H123" s="10" t="s">
        <v>707</v>
      </c>
      <c r="I123" s="11" t="n">
        <v>1</v>
      </c>
      <c r="J123" s="11" t="str">
        <f aca="false">IF(I123&gt;=4,"Completo","Parcial")</f>
        <v>Parcial</v>
      </c>
      <c r="K123" s="10" t="s">
        <v>708</v>
      </c>
    </row>
    <row r="124" customFormat="false" ht="23.85" hidden="false" customHeight="false" outlineLevel="0" collapsed="false">
      <c r="A124" s="11" t="s">
        <v>211</v>
      </c>
      <c r="B124" s="9" t="s">
        <v>224</v>
      </c>
      <c r="C124" s="10" t="s">
        <v>225</v>
      </c>
      <c r="D124" s="10" t="s">
        <v>709</v>
      </c>
      <c r="E124" s="11" t="s">
        <v>524</v>
      </c>
      <c r="F124" s="11" t="s">
        <v>226</v>
      </c>
      <c r="G124" s="10" t="s">
        <v>507</v>
      </c>
      <c r="H124" s="10" t="s">
        <v>710</v>
      </c>
      <c r="I124" s="11" t="n">
        <v>2</v>
      </c>
      <c r="J124" s="11" t="str">
        <f aca="false">IF(I124&gt;=4,"Completo","Parcial")</f>
        <v>Parcial</v>
      </c>
      <c r="K124" s="10" t="s">
        <v>711</v>
      </c>
    </row>
    <row r="125" customFormat="false" ht="35.05" hidden="false" customHeight="false" outlineLevel="0" collapsed="false">
      <c r="A125" s="11" t="s">
        <v>211</v>
      </c>
      <c r="B125" s="9" t="s">
        <v>228</v>
      </c>
      <c r="C125" s="10" t="s">
        <v>229</v>
      </c>
      <c r="D125" s="10" t="s">
        <v>325</v>
      </c>
      <c r="E125" s="11" t="s">
        <v>517</v>
      </c>
      <c r="F125" s="11" t="s">
        <v>230</v>
      </c>
      <c r="G125" s="10" t="s">
        <v>403</v>
      </c>
      <c r="H125" s="10" t="s">
        <v>712</v>
      </c>
      <c r="I125" s="11" t="n">
        <v>1</v>
      </c>
      <c r="J125" s="11" t="str">
        <f aca="false">IF(I125&gt;=4,"Completo","Parcial")</f>
        <v>Parcial</v>
      </c>
      <c r="K125" s="10" t="s">
        <v>713</v>
      </c>
    </row>
    <row r="126" customFormat="false" ht="23.85" hidden="false" customHeight="false" outlineLevel="0" collapsed="false">
      <c r="A126" s="11" t="s">
        <v>211</v>
      </c>
      <c r="B126" s="9" t="s">
        <v>231</v>
      </c>
      <c r="C126" s="10" t="s">
        <v>232</v>
      </c>
      <c r="D126" s="10" t="s">
        <v>325</v>
      </c>
      <c r="E126" s="11" t="s">
        <v>517</v>
      </c>
      <c r="F126" s="11" t="s">
        <v>233</v>
      </c>
      <c r="G126" s="10" t="s">
        <v>340</v>
      </c>
      <c r="H126" s="10" t="s">
        <v>714</v>
      </c>
      <c r="I126" s="11" t="n">
        <v>8</v>
      </c>
      <c r="J126" s="11" t="str">
        <f aca="false">IF(I126&gt;=4,"Completo","Parcial")</f>
        <v>Completo</v>
      </c>
      <c r="K126" s="10" t="s">
        <v>715</v>
      </c>
    </row>
    <row r="127" customFormat="false" ht="35.05" hidden="false" customHeight="false" outlineLevel="0" collapsed="false">
      <c r="A127" s="11" t="s">
        <v>211</v>
      </c>
      <c r="B127" s="9" t="s">
        <v>234</v>
      </c>
      <c r="C127" s="10" t="s">
        <v>235</v>
      </c>
      <c r="D127" s="10" t="s">
        <v>325</v>
      </c>
      <c r="E127" s="11" t="s">
        <v>517</v>
      </c>
      <c r="F127" s="11" t="s">
        <v>226</v>
      </c>
      <c r="G127" s="10" t="s">
        <v>507</v>
      </c>
      <c r="H127" s="10" t="s">
        <v>716</v>
      </c>
      <c r="I127" s="11" t="n">
        <v>3</v>
      </c>
      <c r="J127" s="11" t="str">
        <f aca="false">IF(I127&gt;=4,"Completo","Parcial")</f>
        <v>Parcial</v>
      </c>
      <c r="K127" s="10" t="s">
        <v>717</v>
      </c>
    </row>
    <row r="128" customFormat="false" ht="35.05" hidden="false" customHeight="false" outlineLevel="0" collapsed="false">
      <c r="A128" s="11" t="s">
        <v>211</v>
      </c>
      <c r="B128" s="9" t="s">
        <v>236</v>
      </c>
      <c r="C128" s="10" t="s">
        <v>237</v>
      </c>
      <c r="D128" s="10" t="s">
        <v>325</v>
      </c>
      <c r="E128" s="11" t="s">
        <v>517</v>
      </c>
      <c r="F128" s="11" t="s">
        <v>95</v>
      </c>
      <c r="G128" s="10" t="s">
        <v>384</v>
      </c>
      <c r="H128" s="10" t="s">
        <v>718</v>
      </c>
      <c r="I128" s="11" t="n">
        <v>1</v>
      </c>
      <c r="J128" s="11" t="str">
        <f aca="false">IF(I128&gt;=4,"Completo","Parcial")</f>
        <v>Parcial</v>
      </c>
      <c r="K128" s="10" t="s">
        <v>719</v>
      </c>
    </row>
    <row r="129" customFormat="false" ht="23.85" hidden="false" customHeight="false" outlineLevel="0" collapsed="false">
      <c r="A129" s="11" t="s">
        <v>238</v>
      </c>
      <c r="B129" s="9" t="s">
        <v>239</v>
      </c>
      <c r="C129" s="10" t="s">
        <v>240</v>
      </c>
      <c r="D129" s="10" t="s">
        <v>325</v>
      </c>
      <c r="E129" s="11" t="s">
        <v>517</v>
      </c>
      <c r="F129" s="11" t="s">
        <v>241</v>
      </c>
      <c r="G129" s="10" t="s">
        <v>720</v>
      </c>
      <c r="H129" s="10" t="s">
        <v>721</v>
      </c>
      <c r="I129" s="11" t="n">
        <v>10</v>
      </c>
      <c r="J129" s="11" t="str">
        <f aca="false">IF(I129&gt;=4,"Completo","Parcial")</f>
        <v>Completo</v>
      </c>
      <c r="K129" s="10" t="s">
        <v>722</v>
      </c>
    </row>
    <row r="130" customFormat="false" ht="35.05" hidden="false" customHeight="false" outlineLevel="0" collapsed="false">
      <c r="A130" s="11" t="s">
        <v>130</v>
      </c>
      <c r="B130" s="9" t="s">
        <v>242</v>
      </c>
      <c r="C130" s="10" t="s">
        <v>243</v>
      </c>
      <c r="D130" s="10" t="s">
        <v>325</v>
      </c>
      <c r="E130" s="11" t="s">
        <v>517</v>
      </c>
      <c r="F130" s="11" t="s">
        <v>244</v>
      </c>
      <c r="G130" s="10" t="s">
        <v>410</v>
      </c>
      <c r="H130" s="10" t="s">
        <v>723</v>
      </c>
      <c r="I130" s="11" t="n">
        <v>2</v>
      </c>
      <c r="J130" s="11" t="str">
        <f aca="false">IF(I130&gt;=4,"Completo","Parcial")</f>
        <v>Parcial</v>
      </c>
      <c r="K130" s="10" t="s">
        <v>724</v>
      </c>
    </row>
    <row r="131" customFormat="false" ht="35.05" hidden="false" customHeight="false" outlineLevel="0" collapsed="false">
      <c r="A131" s="11" t="s">
        <v>183</v>
      </c>
      <c r="B131" s="9" t="s">
        <v>245</v>
      </c>
      <c r="C131" s="10" t="s">
        <v>246</v>
      </c>
      <c r="D131" s="10" t="s">
        <v>325</v>
      </c>
      <c r="E131" s="11" t="s">
        <v>517</v>
      </c>
      <c r="F131" s="11" t="s">
        <v>459</v>
      </c>
      <c r="G131" s="10" t="s">
        <v>460</v>
      </c>
      <c r="H131" s="10" t="s">
        <v>461</v>
      </c>
      <c r="I131" s="11" t="n">
        <v>1</v>
      </c>
      <c r="J131" s="11" t="str">
        <f aca="false">IF(I131&gt;=4,"Completo","Parcial")</f>
        <v>Parcial</v>
      </c>
      <c r="K131" s="10" t="s">
        <v>725</v>
      </c>
    </row>
    <row r="132" customFormat="false" ht="35.05" hidden="false" customHeight="false" outlineLevel="0" collapsed="false">
      <c r="A132" s="11" t="s">
        <v>183</v>
      </c>
      <c r="B132" s="9" t="s">
        <v>245</v>
      </c>
      <c r="C132" s="10" t="s">
        <v>246</v>
      </c>
      <c r="D132" s="10" t="s">
        <v>325</v>
      </c>
      <c r="E132" s="11" t="s">
        <v>517</v>
      </c>
      <c r="F132" s="11" t="s">
        <v>462</v>
      </c>
      <c r="G132" s="10" t="s">
        <v>463</v>
      </c>
      <c r="H132" s="10" t="s">
        <v>464</v>
      </c>
      <c r="I132" s="11" t="n">
        <v>6</v>
      </c>
      <c r="J132" s="11" t="str">
        <f aca="false">IF(I132&gt;=4,"Completo","Parcial")</f>
        <v>Completo</v>
      </c>
      <c r="K132" s="10" t="s">
        <v>726</v>
      </c>
    </row>
    <row r="133" customFormat="false" ht="35.05" hidden="false" customHeight="false" outlineLevel="0" collapsed="false">
      <c r="A133" s="11" t="s">
        <v>183</v>
      </c>
      <c r="B133" s="9" t="s">
        <v>245</v>
      </c>
      <c r="C133" s="10" t="s">
        <v>246</v>
      </c>
      <c r="D133" s="10" t="s">
        <v>465</v>
      </c>
      <c r="E133" s="11" t="s">
        <v>524</v>
      </c>
      <c r="F133" s="11" t="s">
        <v>186</v>
      </c>
      <c r="G133" s="10" t="s">
        <v>442</v>
      </c>
      <c r="H133" s="10" t="s">
        <v>466</v>
      </c>
      <c r="I133" s="11" t="n">
        <v>2</v>
      </c>
      <c r="J133" s="11" t="str">
        <f aca="false">IF(I133&gt;=4,"Completo","Parcial")</f>
        <v>Parcial</v>
      </c>
      <c r="K133" s="10" t="s">
        <v>727</v>
      </c>
    </row>
    <row r="134" customFormat="false" ht="35.05" hidden="false" customHeight="false" outlineLevel="0" collapsed="false">
      <c r="A134" s="11" t="s">
        <v>249</v>
      </c>
      <c r="B134" s="9" t="s">
        <v>250</v>
      </c>
      <c r="C134" s="10" t="s">
        <v>251</v>
      </c>
      <c r="D134" s="10" t="s">
        <v>325</v>
      </c>
      <c r="E134" s="11" t="s">
        <v>517</v>
      </c>
      <c r="F134" s="11" t="s">
        <v>252</v>
      </c>
      <c r="G134" s="10" t="s">
        <v>428</v>
      </c>
      <c r="H134" s="10" t="s">
        <v>728</v>
      </c>
      <c r="I134" s="11" t="n">
        <v>1</v>
      </c>
      <c r="J134" s="11" t="str">
        <f aca="false">IF(I134&gt;=4,"Completo","Parcial")</f>
        <v>Parcial</v>
      </c>
      <c r="K134" s="10" t="s">
        <v>729</v>
      </c>
    </row>
    <row r="135" customFormat="false" ht="35.05" hidden="false" customHeight="false" outlineLevel="0" collapsed="false">
      <c r="A135" s="11" t="s">
        <v>75</v>
      </c>
      <c r="B135" s="9" t="s">
        <v>253</v>
      </c>
      <c r="C135" s="10" t="s">
        <v>254</v>
      </c>
      <c r="D135" s="10" t="s">
        <v>325</v>
      </c>
      <c r="E135" s="11" t="s">
        <v>517</v>
      </c>
      <c r="F135" s="11" t="s">
        <v>147</v>
      </c>
      <c r="G135" s="10" t="s">
        <v>367</v>
      </c>
      <c r="H135" s="10" t="s">
        <v>730</v>
      </c>
      <c r="I135" s="11" t="n">
        <v>4</v>
      </c>
      <c r="J135" s="11" t="str">
        <f aca="false">IF(I135&gt;=4,"Completo","Parcial")</f>
        <v>Completo</v>
      </c>
      <c r="K135" s="10" t="s">
        <v>731</v>
      </c>
    </row>
    <row r="136" customFormat="false" ht="23.85" hidden="false" customHeight="false" outlineLevel="0" collapsed="false">
      <c r="A136" s="11" t="s">
        <v>75</v>
      </c>
      <c r="B136" s="9" t="s">
        <v>255</v>
      </c>
      <c r="C136" s="10" t="s">
        <v>256</v>
      </c>
      <c r="D136" s="10" t="s">
        <v>325</v>
      </c>
      <c r="E136" s="11" t="s">
        <v>517</v>
      </c>
      <c r="F136" s="11" t="s">
        <v>370</v>
      </c>
      <c r="G136" s="10" t="s">
        <v>371</v>
      </c>
      <c r="H136" s="10" t="s">
        <v>467</v>
      </c>
      <c r="I136" s="11" t="n">
        <v>3</v>
      </c>
      <c r="J136" s="11" t="str">
        <f aca="false">IF(I136&gt;=4,"Completo","Parcial")</f>
        <v>Parcial</v>
      </c>
      <c r="K136" s="10" t="s">
        <v>732</v>
      </c>
    </row>
    <row r="137" customFormat="false" ht="35.05" hidden="false" customHeight="false" outlineLevel="0" collapsed="false">
      <c r="A137" s="11" t="s">
        <v>75</v>
      </c>
      <c r="B137" s="9" t="s">
        <v>255</v>
      </c>
      <c r="C137" s="10" t="s">
        <v>256</v>
      </c>
      <c r="D137" s="10" t="s">
        <v>325</v>
      </c>
      <c r="E137" s="11" t="s">
        <v>517</v>
      </c>
      <c r="F137" s="11" t="s">
        <v>323</v>
      </c>
      <c r="G137" s="10" t="s">
        <v>324</v>
      </c>
      <c r="H137" s="10" t="s">
        <v>468</v>
      </c>
      <c r="I137" s="11" t="n">
        <v>1</v>
      </c>
      <c r="J137" s="11" t="str">
        <f aca="false">IF(I137&gt;=4,"Completo","Parcial")</f>
        <v>Parcial</v>
      </c>
      <c r="K137" s="10" t="s">
        <v>733</v>
      </c>
    </row>
    <row r="138" customFormat="false" ht="35.05" hidden="false" customHeight="false" outlineLevel="0" collapsed="false">
      <c r="A138" s="11" t="s">
        <v>75</v>
      </c>
      <c r="B138" s="9" t="s">
        <v>255</v>
      </c>
      <c r="C138" s="10" t="s">
        <v>256</v>
      </c>
      <c r="D138" s="10" t="s">
        <v>325</v>
      </c>
      <c r="E138" s="11" t="s">
        <v>517</v>
      </c>
      <c r="F138" s="11" t="s">
        <v>386</v>
      </c>
      <c r="G138" s="10" t="s">
        <v>387</v>
      </c>
      <c r="H138" s="10" t="s">
        <v>469</v>
      </c>
      <c r="I138" s="11" t="n">
        <v>5</v>
      </c>
      <c r="J138" s="11" t="str">
        <f aca="false">IF(I138&gt;=4,"Completo","Parcial")</f>
        <v>Completo</v>
      </c>
      <c r="K138" s="10" t="s">
        <v>734</v>
      </c>
    </row>
    <row r="139" customFormat="false" ht="35.05" hidden="false" customHeight="false" outlineLevel="0" collapsed="false">
      <c r="A139" s="11" t="s">
        <v>75</v>
      </c>
      <c r="B139" s="9" t="s">
        <v>255</v>
      </c>
      <c r="C139" s="10" t="s">
        <v>256</v>
      </c>
      <c r="D139" s="10" t="s">
        <v>325</v>
      </c>
      <c r="E139" s="11" t="s">
        <v>517</v>
      </c>
      <c r="F139" s="11" t="s">
        <v>201</v>
      </c>
      <c r="G139" s="10" t="s">
        <v>448</v>
      </c>
      <c r="H139" s="10" t="s">
        <v>470</v>
      </c>
      <c r="I139" s="11" t="n">
        <v>1</v>
      </c>
      <c r="J139" s="11" t="str">
        <f aca="false">IF(I139&gt;=4,"Completo","Parcial")</f>
        <v>Parcial</v>
      </c>
      <c r="K139" s="10" t="s">
        <v>735</v>
      </c>
    </row>
    <row r="140" customFormat="false" ht="23.85" hidden="false" customHeight="false" outlineLevel="0" collapsed="false">
      <c r="A140" s="11" t="s">
        <v>75</v>
      </c>
      <c r="B140" s="9" t="s">
        <v>255</v>
      </c>
      <c r="C140" s="10" t="s">
        <v>256</v>
      </c>
      <c r="D140" s="10" t="s">
        <v>471</v>
      </c>
      <c r="E140" s="11" t="s">
        <v>524</v>
      </c>
      <c r="F140" s="11" t="s">
        <v>370</v>
      </c>
      <c r="G140" s="10" t="s">
        <v>371</v>
      </c>
      <c r="H140" s="10" t="s">
        <v>472</v>
      </c>
      <c r="I140" s="11" t="n">
        <v>2</v>
      </c>
      <c r="J140" s="11" t="str">
        <f aca="false">IF(I140&gt;=4,"Completo","Parcial")</f>
        <v>Parcial</v>
      </c>
      <c r="K140" s="10" t="s">
        <v>736</v>
      </c>
    </row>
    <row r="141" customFormat="false" ht="35.05" hidden="false" customHeight="false" outlineLevel="0" collapsed="false">
      <c r="A141" s="11" t="s">
        <v>75</v>
      </c>
      <c r="B141" s="9" t="s">
        <v>255</v>
      </c>
      <c r="C141" s="10" t="s">
        <v>256</v>
      </c>
      <c r="D141" s="10" t="s">
        <v>471</v>
      </c>
      <c r="E141" s="11" t="s">
        <v>524</v>
      </c>
      <c r="F141" s="11" t="s">
        <v>386</v>
      </c>
      <c r="G141" s="10" t="s">
        <v>387</v>
      </c>
      <c r="H141" s="10" t="s">
        <v>473</v>
      </c>
      <c r="I141" s="11" t="n">
        <v>1</v>
      </c>
      <c r="J141" s="11" t="str">
        <f aca="false">IF(I141&gt;=4,"Completo","Parcial")</f>
        <v>Parcial</v>
      </c>
      <c r="K141" s="10" t="s">
        <v>737</v>
      </c>
    </row>
    <row r="142" customFormat="false" ht="35.05" hidden="false" customHeight="false" outlineLevel="0" collapsed="false">
      <c r="A142" s="11" t="s">
        <v>75</v>
      </c>
      <c r="B142" s="9" t="s">
        <v>255</v>
      </c>
      <c r="C142" s="10" t="s">
        <v>256</v>
      </c>
      <c r="D142" s="10" t="s">
        <v>474</v>
      </c>
      <c r="E142" s="11" t="s">
        <v>524</v>
      </c>
      <c r="F142" s="11" t="s">
        <v>95</v>
      </c>
      <c r="G142" s="10" t="s">
        <v>384</v>
      </c>
      <c r="H142" s="10" t="s">
        <v>475</v>
      </c>
      <c r="I142" s="11" t="n">
        <v>2</v>
      </c>
      <c r="J142" s="11" t="str">
        <f aca="false">IF(I142&gt;=4,"Completo","Parcial")</f>
        <v>Parcial</v>
      </c>
      <c r="K142" s="10" t="s">
        <v>738</v>
      </c>
    </row>
    <row r="143" customFormat="false" ht="35.05" hidden="false" customHeight="false" outlineLevel="0" collapsed="false">
      <c r="A143" s="11" t="s">
        <v>75</v>
      </c>
      <c r="B143" s="9" t="s">
        <v>255</v>
      </c>
      <c r="C143" s="10" t="s">
        <v>256</v>
      </c>
      <c r="D143" s="10" t="s">
        <v>474</v>
      </c>
      <c r="E143" s="11" t="s">
        <v>524</v>
      </c>
      <c r="F143" s="11" t="s">
        <v>201</v>
      </c>
      <c r="G143" s="10" t="s">
        <v>448</v>
      </c>
      <c r="H143" s="10" t="s">
        <v>476</v>
      </c>
      <c r="I143" s="11" t="n">
        <v>1</v>
      </c>
      <c r="J143" s="11" t="str">
        <f aca="false">IF(I143&gt;=4,"Completo","Parcial")</f>
        <v>Parcial</v>
      </c>
      <c r="K143" s="10" t="s">
        <v>739</v>
      </c>
    </row>
    <row r="144" customFormat="false" ht="35.05" hidden="false" customHeight="false" outlineLevel="0" collapsed="false">
      <c r="A144" s="11" t="s">
        <v>75</v>
      </c>
      <c r="B144" s="9" t="s">
        <v>255</v>
      </c>
      <c r="C144" s="10" t="s">
        <v>256</v>
      </c>
      <c r="D144" s="10" t="s">
        <v>474</v>
      </c>
      <c r="E144" s="11" t="s">
        <v>524</v>
      </c>
      <c r="F144" s="11" t="s">
        <v>86</v>
      </c>
      <c r="G144" s="10" t="s">
        <v>382</v>
      </c>
      <c r="H144" s="10" t="s">
        <v>477</v>
      </c>
      <c r="I144" s="11" t="n">
        <v>1</v>
      </c>
      <c r="J144" s="11" t="str">
        <f aca="false">IF(I144&gt;=4,"Completo","Parcial")</f>
        <v>Parcial</v>
      </c>
      <c r="K144" s="10" t="s">
        <v>740</v>
      </c>
    </row>
    <row r="145" customFormat="false" ht="23.85" hidden="false" customHeight="false" outlineLevel="0" collapsed="false">
      <c r="A145" s="11" t="s">
        <v>75</v>
      </c>
      <c r="B145" s="9" t="s">
        <v>259</v>
      </c>
      <c r="C145" s="10" t="s">
        <v>260</v>
      </c>
      <c r="D145" s="10" t="s">
        <v>325</v>
      </c>
      <c r="E145" s="11" t="s">
        <v>517</v>
      </c>
      <c r="F145" s="11" t="s">
        <v>370</v>
      </c>
      <c r="G145" s="10" t="s">
        <v>371</v>
      </c>
      <c r="H145" s="10" t="s">
        <v>478</v>
      </c>
      <c r="I145" s="11" t="n">
        <v>5</v>
      </c>
      <c r="J145" s="11" t="str">
        <f aca="false">IF(I145&gt;=4,"Completo","Parcial")</f>
        <v>Completo</v>
      </c>
      <c r="K145" s="10" t="s">
        <v>741</v>
      </c>
    </row>
    <row r="146" customFormat="false" ht="35.05" hidden="false" customHeight="false" outlineLevel="0" collapsed="false">
      <c r="A146" s="11" t="s">
        <v>75</v>
      </c>
      <c r="B146" s="9" t="s">
        <v>259</v>
      </c>
      <c r="C146" s="10" t="s">
        <v>260</v>
      </c>
      <c r="D146" s="10" t="s">
        <v>325</v>
      </c>
      <c r="E146" s="11" t="s">
        <v>517</v>
      </c>
      <c r="F146" s="11" t="s">
        <v>118</v>
      </c>
      <c r="G146" s="10" t="s">
        <v>419</v>
      </c>
      <c r="H146" s="10" t="s">
        <v>479</v>
      </c>
      <c r="I146" s="11" t="n">
        <v>1</v>
      </c>
      <c r="J146" s="11" t="str">
        <f aca="false">IF(I146&gt;=4,"Completo","Parcial")</f>
        <v>Parcial</v>
      </c>
      <c r="K146" s="10" t="s">
        <v>742</v>
      </c>
    </row>
    <row r="147" customFormat="false" ht="35.05" hidden="false" customHeight="false" outlineLevel="0" collapsed="false">
      <c r="A147" s="11" t="s">
        <v>75</v>
      </c>
      <c r="B147" s="9" t="s">
        <v>259</v>
      </c>
      <c r="C147" s="10" t="s">
        <v>260</v>
      </c>
      <c r="D147" s="10" t="s">
        <v>325</v>
      </c>
      <c r="E147" s="11" t="s">
        <v>517</v>
      </c>
      <c r="F147" s="11" t="s">
        <v>126</v>
      </c>
      <c r="G147" s="10" t="s">
        <v>392</v>
      </c>
      <c r="H147" s="10" t="s">
        <v>480</v>
      </c>
      <c r="I147" s="11" t="n">
        <v>1</v>
      </c>
      <c r="J147" s="11" t="str">
        <f aca="false">IF(I147&gt;=4,"Completo","Parcial")</f>
        <v>Parcial</v>
      </c>
      <c r="K147" s="10" t="s">
        <v>743</v>
      </c>
    </row>
    <row r="148" customFormat="false" ht="35.05" hidden="false" customHeight="false" outlineLevel="0" collapsed="false">
      <c r="A148" s="11" t="s">
        <v>75</v>
      </c>
      <c r="B148" s="9" t="s">
        <v>259</v>
      </c>
      <c r="C148" s="10" t="s">
        <v>260</v>
      </c>
      <c r="D148" s="10" t="s">
        <v>481</v>
      </c>
      <c r="E148" s="11" t="s">
        <v>524</v>
      </c>
      <c r="F148" s="11" t="s">
        <v>118</v>
      </c>
      <c r="G148" s="10" t="s">
        <v>419</v>
      </c>
      <c r="H148" s="10" t="s">
        <v>482</v>
      </c>
      <c r="I148" s="11" t="n">
        <v>2</v>
      </c>
      <c r="J148" s="11" t="str">
        <f aca="false">IF(I148&gt;=4,"Completo","Parcial")</f>
        <v>Parcial</v>
      </c>
      <c r="K148" s="10" t="s">
        <v>744</v>
      </c>
    </row>
    <row r="149" customFormat="false" ht="35.05" hidden="false" customHeight="false" outlineLevel="0" collapsed="false">
      <c r="A149" s="11" t="s">
        <v>75</v>
      </c>
      <c r="B149" s="9" t="s">
        <v>259</v>
      </c>
      <c r="C149" s="10" t="s">
        <v>260</v>
      </c>
      <c r="D149" s="10" t="s">
        <v>481</v>
      </c>
      <c r="E149" s="11" t="s">
        <v>524</v>
      </c>
      <c r="F149" s="11" t="s">
        <v>129</v>
      </c>
      <c r="G149" s="10" t="s">
        <v>360</v>
      </c>
      <c r="H149" s="10" t="s">
        <v>483</v>
      </c>
      <c r="I149" s="11" t="n">
        <v>1</v>
      </c>
      <c r="J149" s="11" t="str">
        <f aca="false">IF(I149&gt;=4,"Completo","Parcial")</f>
        <v>Parcial</v>
      </c>
      <c r="K149" s="10" t="s">
        <v>745</v>
      </c>
    </row>
    <row r="150" customFormat="false" ht="23.85" hidden="false" customHeight="false" outlineLevel="0" collapsed="false">
      <c r="A150" s="11" t="s">
        <v>75</v>
      </c>
      <c r="B150" s="9" t="s">
        <v>259</v>
      </c>
      <c r="C150" s="10" t="s">
        <v>260</v>
      </c>
      <c r="D150" s="10" t="s">
        <v>486</v>
      </c>
      <c r="E150" s="11" t="s">
        <v>524</v>
      </c>
      <c r="F150" s="11" t="s">
        <v>484</v>
      </c>
      <c r="G150" s="10" t="s">
        <v>485</v>
      </c>
      <c r="H150" s="10" t="s">
        <v>487</v>
      </c>
      <c r="I150" s="11" t="n">
        <v>1</v>
      </c>
      <c r="J150" s="11" t="str">
        <f aca="false">IF(I150&gt;=4,"Completo","Parcial")</f>
        <v>Parcial</v>
      </c>
      <c r="K150" s="10" t="s">
        <v>746</v>
      </c>
    </row>
    <row r="151" customFormat="false" ht="35.05" hidden="false" customHeight="false" outlineLevel="0" collapsed="false">
      <c r="A151" s="11" t="s">
        <v>75</v>
      </c>
      <c r="B151" s="9" t="s">
        <v>263</v>
      </c>
      <c r="C151" s="10" t="s">
        <v>264</v>
      </c>
      <c r="D151" s="10" t="s">
        <v>325</v>
      </c>
      <c r="E151" s="11" t="s">
        <v>517</v>
      </c>
      <c r="F151" s="11" t="s">
        <v>118</v>
      </c>
      <c r="G151" s="10" t="s">
        <v>419</v>
      </c>
      <c r="H151" s="10" t="s">
        <v>747</v>
      </c>
      <c r="I151" s="11" t="n">
        <v>1</v>
      </c>
      <c r="J151" s="11" t="str">
        <f aca="false">IF(I151&gt;=4,"Completo","Parcial")</f>
        <v>Parcial</v>
      </c>
      <c r="K151" s="10" t="s">
        <v>748</v>
      </c>
    </row>
    <row r="152" customFormat="false" ht="35.05" hidden="false" customHeight="false" outlineLevel="0" collapsed="false">
      <c r="A152" s="11" t="s">
        <v>75</v>
      </c>
      <c r="B152" s="9" t="s">
        <v>265</v>
      </c>
      <c r="C152" s="10" t="s">
        <v>266</v>
      </c>
      <c r="D152" s="10" t="s">
        <v>325</v>
      </c>
      <c r="E152" s="11" t="s">
        <v>517</v>
      </c>
      <c r="F152" s="11" t="s">
        <v>129</v>
      </c>
      <c r="G152" s="10" t="s">
        <v>360</v>
      </c>
      <c r="H152" s="10" t="s">
        <v>488</v>
      </c>
      <c r="I152" s="11" t="n">
        <v>1</v>
      </c>
      <c r="J152" s="11" t="str">
        <f aca="false">IF(I152&gt;=4,"Completo","Parcial")</f>
        <v>Parcial</v>
      </c>
      <c r="K152" s="10" t="s">
        <v>749</v>
      </c>
    </row>
    <row r="153" customFormat="false" ht="35.05" hidden="false" customHeight="false" outlineLevel="0" collapsed="false">
      <c r="A153" s="11" t="s">
        <v>75</v>
      </c>
      <c r="B153" s="9" t="s">
        <v>265</v>
      </c>
      <c r="C153" s="10" t="s">
        <v>266</v>
      </c>
      <c r="D153" s="10" t="s">
        <v>325</v>
      </c>
      <c r="E153" s="11" t="s">
        <v>517</v>
      </c>
      <c r="F153" s="11" t="s">
        <v>270</v>
      </c>
      <c r="G153" s="10" t="s">
        <v>375</v>
      </c>
      <c r="H153" s="10" t="s">
        <v>489</v>
      </c>
      <c r="I153" s="11" t="n">
        <v>1</v>
      </c>
      <c r="J153" s="11" t="str">
        <f aca="false">IF(I153&gt;=4,"Completo","Parcial")</f>
        <v>Parcial</v>
      </c>
      <c r="K153" s="10" t="s">
        <v>749</v>
      </c>
    </row>
    <row r="154" customFormat="false" ht="35.05" hidden="false" customHeight="false" outlineLevel="0" collapsed="false">
      <c r="A154" s="11" t="s">
        <v>75</v>
      </c>
      <c r="B154" s="9" t="s">
        <v>265</v>
      </c>
      <c r="C154" s="10" t="s">
        <v>266</v>
      </c>
      <c r="D154" s="10" t="s">
        <v>325</v>
      </c>
      <c r="E154" s="11" t="s">
        <v>517</v>
      </c>
      <c r="F154" s="11" t="s">
        <v>362</v>
      </c>
      <c r="G154" s="10" t="s">
        <v>363</v>
      </c>
      <c r="H154" s="10" t="s">
        <v>490</v>
      </c>
      <c r="I154" s="11" t="n">
        <v>1</v>
      </c>
      <c r="J154" s="11" t="str">
        <f aca="false">IF(I154&gt;=4,"Completo","Parcial")</f>
        <v>Parcial</v>
      </c>
      <c r="K154" s="10" t="s">
        <v>750</v>
      </c>
    </row>
    <row r="155" customFormat="false" ht="79.85" hidden="false" customHeight="false" outlineLevel="0" collapsed="false">
      <c r="A155" s="11" t="s">
        <v>75</v>
      </c>
      <c r="B155" s="9" t="s">
        <v>268</v>
      </c>
      <c r="C155" s="10" t="s">
        <v>269</v>
      </c>
      <c r="D155" s="10" t="s">
        <v>325</v>
      </c>
      <c r="E155" s="11" t="s">
        <v>517</v>
      </c>
      <c r="F155" s="11" t="s">
        <v>270</v>
      </c>
      <c r="G155" s="10" t="s">
        <v>375</v>
      </c>
      <c r="H155" s="10" t="s">
        <v>491</v>
      </c>
      <c r="I155" s="11" t="n">
        <v>18</v>
      </c>
      <c r="J155" s="11" t="str">
        <f aca="false">IF(I155&gt;=4,"Completo","Parcial")</f>
        <v>Completo</v>
      </c>
      <c r="K155" s="10" t="s">
        <v>751</v>
      </c>
    </row>
    <row r="156" customFormat="false" ht="23.85" hidden="false" customHeight="false" outlineLevel="0" collapsed="false">
      <c r="A156" s="11" t="s">
        <v>75</v>
      </c>
      <c r="B156" s="9" t="s">
        <v>268</v>
      </c>
      <c r="C156" s="10" t="s">
        <v>269</v>
      </c>
      <c r="D156" s="10" t="s">
        <v>492</v>
      </c>
      <c r="E156" s="11" t="s">
        <v>524</v>
      </c>
      <c r="F156" s="11" t="s">
        <v>462</v>
      </c>
      <c r="G156" s="10" t="s">
        <v>463</v>
      </c>
      <c r="H156" s="10" t="s">
        <v>493</v>
      </c>
      <c r="I156" s="11" t="n">
        <v>1</v>
      </c>
      <c r="J156" s="11" t="str">
        <f aca="false">IF(I156&gt;=4,"Completo","Parcial")</f>
        <v>Parcial</v>
      </c>
      <c r="K156" s="10" t="s">
        <v>752</v>
      </c>
    </row>
    <row r="157" customFormat="false" ht="35.05" hidden="false" customHeight="false" outlineLevel="0" collapsed="false">
      <c r="A157" s="11" t="s">
        <v>75</v>
      </c>
      <c r="B157" s="9" t="s">
        <v>272</v>
      </c>
      <c r="C157" s="10" t="s">
        <v>273</v>
      </c>
      <c r="D157" s="10" t="s">
        <v>325</v>
      </c>
      <c r="E157" s="11" t="s">
        <v>517</v>
      </c>
      <c r="F157" s="11" t="s">
        <v>126</v>
      </c>
      <c r="G157" s="10" t="s">
        <v>392</v>
      </c>
      <c r="H157" s="10" t="s">
        <v>753</v>
      </c>
      <c r="I157" s="11" t="n">
        <v>1</v>
      </c>
      <c r="J157" s="11" t="str">
        <f aca="false">IF(I157&gt;=4,"Completo","Parcial")</f>
        <v>Parcial</v>
      </c>
      <c r="K157" s="10" t="s">
        <v>754</v>
      </c>
    </row>
    <row r="158" customFormat="false" ht="15" hidden="false" customHeight="false" outlineLevel="0" collapsed="false">
      <c r="A158" s="11" t="s">
        <v>75</v>
      </c>
      <c r="B158" s="9" t="s">
        <v>274</v>
      </c>
      <c r="C158" s="10" t="s">
        <v>275</v>
      </c>
      <c r="D158" s="10" t="s">
        <v>325</v>
      </c>
      <c r="E158" s="11" t="s">
        <v>517</v>
      </c>
      <c r="F158" s="11" t="s">
        <v>126</v>
      </c>
      <c r="G158" s="10" t="s">
        <v>392</v>
      </c>
      <c r="H158" s="10" t="s">
        <v>755</v>
      </c>
      <c r="I158" s="11" t="n">
        <v>1</v>
      </c>
      <c r="J158" s="11" t="str">
        <f aca="false">IF(I158&gt;=4,"Completo","Parcial")</f>
        <v>Parcial</v>
      </c>
      <c r="K158" s="10" t="s">
        <v>756</v>
      </c>
    </row>
    <row r="159" customFormat="false" ht="79.85" hidden="false" customHeight="false" outlineLevel="0" collapsed="false">
      <c r="A159" s="11" t="s">
        <v>11</v>
      </c>
      <c r="B159" s="9" t="s">
        <v>276</v>
      </c>
      <c r="C159" s="10" t="s">
        <v>277</v>
      </c>
      <c r="D159" s="10" t="s">
        <v>325</v>
      </c>
      <c r="E159" s="11" t="s">
        <v>517</v>
      </c>
      <c r="F159" s="11" t="s">
        <v>278</v>
      </c>
      <c r="G159" s="10" t="s">
        <v>343</v>
      </c>
      <c r="H159" s="10" t="s">
        <v>757</v>
      </c>
      <c r="I159" s="11" t="n">
        <v>10</v>
      </c>
      <c r="J159" s="11" t="str">
        <f aca="false">IF(I159&gt;=4,"Completo","Parcial")</f>
        <v>Completo</v>
      </c>
      <c r="K159" s="10" t="s">
        <v>758</v>
      </c>
    </row>
    <row r="160" customFormat="false" ht="46.25" hidden="false" customHeight="false" outlineLevel="0" collapsed="false">
      <c r="A160" s="11" t="s">
        <v>11</v>
      </c>
      <c r="B160" s="9" t="s">
        <v>279</v>
      </c>
      <c r="C160" s="10" t="s">
        <v>280</v>
      </c>
      <c r="D160" s="10" t="s">
        <v>325</v>
      </c>
      <c r="E160" s="11" t="s">
        <v>517</v>
      </c>
      <c r="F160" s="11" t="s">
        <v>494</v>
      </c>
      <c r="G160" s="10" t="s">
        <v>495</v>
      </c>
      <c r="H160" s="10" t="s">
        <v>496</v>
      </c>
      <c r="I160" s="11" t="n">
        <v>6</v>
      </c>
      <c r="J160" s="11" t="str">
        <f aca="false">IF(I160&gt;=4,"Completo","Parcial")</f>
        <v>Completo</v>
      </c>
      <c r="K160" s="10" t="s">
        <v>759</v>
      </c>
    </row>
    <row r="161" customFormat="false" ht="23.85" hidden="false" customHeight="false" outlineLevel="0" collapsed="false">
      <c r="A161" s="11" t="s">
        <v>11</v>
      </c>
      <c r="B161" s="9" t="s">
        <v>279</v>
      </c>
      <c r="C161" s="10" t="s">
        <v>280</v>
      </c>
      <c r="D161" s="10" t="s">
        <v>325</v>
      </c>
      <c r="E161" s="11" t="s">
        <v>517</v>
      </c>
      <c r="F161" s="11" t="s">
        <v>62</v>
      </c>
      <c r="G161" s="10" t="s">
        <v>352</v>
      </c>
      <c r="H161" s="10" t="s">
        <v>497</v>
      </c>
      <c r="I161" s="11" t="n">
        <v>2</v>
      </c>
      <c r="J161" s="11" t="str">
        <f aca="false">IF(I161&gt;=4,"Completo","Parcial")</f>
        <v>Parcial</v>
      </c>
      <c r="K161" s="10" t="s">
        <v>760</v>
      </c>
    </row>
    <row r="162" customFormat="false" ht="35.05" hidden="false" customHeight="false" outlineLevel="0" collapsed="false">
      <c r="A162" s="11" t="s">
        <v>11</v>
      </c>
      <c r="B162" s="9" t="s">
        <v>279</v>
      </c>
      <c r="C162" s="10" t="s">
        <v>280</v>
      </c>
      <c r="D162" s="10" t="s">
        <v>498</v>
      </c>
      <c r="E162" s="11" t="s">
        <v>524</v>
      </c>
      <c r="F162" s="11" t="s">
        <v>494</v>
      </c>
      <c r="G162" s="10" t="s">
        <v>495</v>
      </c>
      <c r="H162" s="10" t="s">
        <v>499</v>
      </c>
      <c r="I162" s="11" t="n">
        <v>1</v>
      </c>
      <c r="J162" s="11" t="str">
        <f aca="false">IF(I162&gt;=4,"Completo","Parcial")</f>
        <v>Parcial</v>
      </c>
      <c r="K162" s="10" t="s">
        <v>761</v>
      </c>
    </row>
    <row r="163" customFormat="false" ht="35.05" hidden="false" customHeight="false" outlineLevel="0" collapsed="false">
      <c r="A163" s="11" t="s">
        <v>11</v>
      </c>
      <c r="B163" s="9" t="s">
        <v>279</v>
      </c>
      <c r="C163" s="10" t="s">
        <v>280</v>
      </c>
      <c r="D163" s="10" t="s">
        <v>500</v>
      </c>
      <c r="E163" s="11" t="s">
        <v>524</v>
      </c>
      <c r="F163" s="11" t="s">
        <v>494</v>
      </c>
      <c r="G163" s="10" t="s">
        <v>495</v>
      </c>
      <c r="H163" s="10" t="s">
        <v>500</v>
      </c>
      <c r="I163" s="11" t="n">
        <v>1</v>
      </c>
      <c r="J163" s="11" t="str">
        <f aca="false">IF(I163&gt;=4,"Completo","Parcial")</f>
        <v>Parcial</v>
      </c>
      <c r="K163" s="10" t="s">
        <v>762</v>
      </c>
    </row>
    <row r="164" customFormat="false" ht="57.45" hidden="false" customHeight="false" outlineLevel="0" collapsed="false">
      <c r="A164" s="11" t="s">
        <v>11</v>
      </c>
      <c r="B164" s="9" t="s">
        <v>283</v>
      </c>
      <c r="C164" s="10" t="s">
        <v>284</v>
      </c>
      <c r="D164" s="10" t="s">
        <v>325</v>
      </c>
      <c r="E164" s="11" t="s">
        <v>517</v>
      </c>
      <c r="F164" s="11" t="s">
        <v>285</v>
      </c>
      <c r="G164" s="10" t="s">
        <v>763</v>
      </c>
      <c r="H164" s="10" t="s">
        <v>764</v>
      </c>
      <c r="I164" s="11" t="n">
        <v>5</v>
      </c>
      <c r="J164" s="11" t="str">
        <f aca="false">IF(I164&gt;=4,"Completo","Parcial")</f>
        <v>Completo</v>
      </c>
      <c r="K164" s="10" t="s">
        <v>765</v>
      </c>
    </row>
    <row r="165" customFormat="false" ht="46.25" hidden="false" customHeight="false" outlineLevel="0" collapsed="false">
      <c r="A165" s="11" t="s">
        <v>11</v>
      </c>
      <c r="B165" s="9" t="s">
        <v>286</v>
      </c>
      <c r="C165" s="10" t="s">
        <v>287</v>
      </c>
      <c r="D165" s="10" t="s">
        <v>325</v>
      </c>
      <c r="E165" s="11" t="s">
        <v>517</v>
      </c>
      <c r="F165" s="11" t="s">
        <v>73</v>
      </c>
      <c r="G165" s="10" t="s">
        <v>379</v>
      </c>
      <c r="H165" s="10" t="s">
        <v>766</v>
      </c>
      <c r="I165" s="11" t="n">
        <v>4</v>
      </c>
      <c r="J165" s="11" t="str">
        <f aca="false">IF(I165&gt;=4,"Completo","Parcial")</f>
        <v>Completo</v>
      </c>
      <c r="K165" s="10" t="s">
        <v>767</v>
      </c>
    </row>
    <row r="166" customFormat="false" ht="35.05" hidden="false" customHeight="false" outlineLevel="0" collapsed="false">
      <c r="A166" s="11" t="s">
        <v>11</v>
      </c>
      <c r="B166" s="9" t="s">
        <v>286</v>
      </c>
      <c r="C166" s="10" t="s">
        <v>287</v>
      </c>
      <c r="D166" s="10" t="s">
        <v>768</v>
      </c>
      <c r="E166" s="11" t="s">
        <v>524</v>
      </c>
      <c r="F166" s="11" t="s">
        <v>73</v>
      </c>
      <c r="G166" s="10" t="s">
        <v>379</v>
      </c>
      <c r="H166" s="10" t="s">
        <v>769</v>
      </c>
      <c r="I166" s="11" t="n">
        <v>1</v>
      </c>
      <c r="J166" s="11" t="str">
        <f aca="false">IF(I166&gt;=4,"Completo","Parcial")</f>
        <v>Parcial</v>
      </c>
      <c r="K166" s="10" t="s">
        <v>770</v>
      </c>
    </row>
    <row r="167" customFormat="false" ht="35.05" hidden="false" customHeight="false" outlineLevel="0" collapsed="false">
      <c r="A167" s="11" t="s">
        <v>63</v>
      </c>
      <c r="B167" s="9" t="s">
        <v>289</v>
      </c>
      <c r="C167" s="10" t="s">
        <v>290</v>
      </c>
      <c r="D167" s="10" t="s">
        <v>325</v>
      </c>
      <c r="E167" s="11" t="s">
        <v>517</v>
      </c>
      <c r="F167" s="11" t="s">
        <v>278</v>
      </c>
      <c r="G167" s="10" t="s">
        <v>343</v>
      </c>
      <c r="H167" s="10" t="s">
        <v>501</v>
      </c>
      <c r="I167" s="11" t="n">
        <v>3</v>
      </c>
      <c r="J167" s="11" t="str">
        <f aca="false">IF(I167&gt;=4,"Completo","Parcial")</f>
        <v>Parcial</v>
      </c>
      <c r="K167" s="10" t="s">
        <v>771</v>
      </c>
    </row>
    <row r="168" customFormat="false" ht="46.25" hidden="false" customHeight="false" outlineLevel="0" collapsed="false">
      <c r="A168" s="11" t="s">
        <v>63</v>
      </c>
      <c r="B168" s="9" t="s">
        <v>289</v>
      </c>
      <c r="C168" s="10" t="s">
        <v>290</v>
      </c>
      <c r="D168" s="10" t="s">
        <v>325</v>
      </c>
      <c r="E168" s="11" t="s">
        <v>517</v>
      </c>
      <c r="F168" s="11" t="s">
        <v>502</v>
      </c>
      <c r="G168" s="10" t="s">
        <v>503</v>
      </c>
      <c r="H168" s="10" t="s">
        <v>504</v>
      </c>
      <c r="I168" s="11" t="n">
        <v>1</v>
      </c>
      <c r="J168" s="11" t="str">
        <f aca="false">IF(I168&gt;=4,"Completo","Parcial")</f>
        <v>Parcial</v>
      </c>
      <c r="K168" s="10" t="s">
        <v>772</v>
      </c>
    </row>
    <row r="169" customFormat="false" ht="35.05" hidden="false" customHeight="false" outlineLevel="0" collapsed="false">
      <c r="A169" s="11" t="s">
        <v>130</v>
      </c>
      <c r="B169" s="9" t="s">
        <v>292</v>
      </c>
      <c r="C169" s="10" t="s">
        <v>293</v>
      </c>
      <c r="D169" s="10" t="s">
        <v>325</v>
      </c>
      <c r="E169" s="11" t="s">
        <v>517</v>
      </c>
      <c r="F169" s="11" t="s">
        <v>18</v>
      </c>
      <c r="G169" s="10" t="s">
        <v>328</v>
      </c>
      <c r="H169" s="10" t="s">
        <v>773</v>
      </c>
      <c r="I169" s="11" t="n">
        <v>5</v>
      </c>
      <c r="J169" s="11" t="str">
        <f aca="false">IF(I169&gt;=4,"Completo","Parcial")</f>
        <v>Completo</v>
      </c>
      <c r="K169" s="10" t="s">
        <v>774</v>
      </c>
    </row>
    <row r="170" customFormat="false" ht="35.05" hidden="false" customHeight="false" outlineLevel="0" collapsed="false">
      <c r="A170" s="11" t="s">
        <v>130</v>
      </c>
      <c r="B170" s="9" t="s">
        <v>294</v>
      </c>
      <c r="C170" s="10" t="s">
        <v>295</v>
      </c>
      <c r="D170" s="10" t="s">
        <v>325</v>
      </c>
      <c r="E170" s="11" t="s">
        <v>517</v>
      </c>
      <c r="F170" s="11" t="s">
        <v>18</v>
      </c>
      <c r="G170" s="10" t="s">
        <v>328</v>
      </c>
      <c r="H170" s="10" t="s">
        <v>775</v>
      </c>
      <c r="I170" s="11" t="n">
        <v>1</v>
      </c>
      <c r="J170" s="11" t="str">
        <f aca="false">IF(I170&gt;=4,"Completo","Parcial")</f>
        <v>Parcial</v>
      </c>
      <c r="K170" s="10" t="s">
        <v>776</v>
      </c>
    </row>
    <row r="171" customFormat="false" ht="35.05" hidden="false" customHeight="false" outlineLevel="0" collapsed="false">
      <c r="A171" s="11" t="s">
        <v>183</v>
      </c>
      <c r="B171" s="9" t="s">
        <v>296</v>
      </c>
      <c r="C171" s="10" t="s">
        <v>297</v>
      </c>
      <c r="D171" s="10" t="s">
        <v>325</v>
      </c>
      <c r="E171" s="11" t="s">
        <v>517</v>
      </c>
      <c r="F171" s="11" t="s">
        <v>194</v>
      </c>
      <c r="G171" s="10" t="s">
        <v>365</v>
      </c>
      <c r="H171" s="10" t="s">
        <v>777</v>
      </c>
      <c r="I171" s="11" t="n">
        <v>3</v>
      </c>
      <c r="J171" s="11" t="str">
        <f aca="false">IF(I171&gt;=4,"Completo","Parcial")</f>
        <v>Parcial</v>
      </c>
      <c r="K171" s="10" t="s">
        <v>778</v>
      </c>
    </row>
    <row r="172" customFormat="false" ht="35.05" hidden="false" customHeight="false" outlineLevel="0" collapsed="false">
      <c r="A172" s="11" t="s">
        <v>183</v>
      </c>
      <c r="B172" s="9" t="s">
        <v>298</v>
      </c>
      <c r="C172" s="10" t="s">
        <v>299</v>
      </c>
      <c r="D172" s="10" t="s">
        <v>325</v>
      </c>
      <c r="E172" s="11" t="s">
        <v>517</v>
      </c>
      <c r="F172" s="11" t="s">
        <v>194</v>
      </c>
      <c r="G172" s="10" t="s">
        <v>365</v>
      </c>
      <c r="H172" s="10" t="s">
        <v>779</v>
      </c>
      <c r="I172" s="11" t="n">
        <v>4</v>
      </c>
      <c r="J172" s="11" t="str">
        <f aca="false">IF(I172&gt;=4,"Completo","Parcial")</f>
        <v>Completo</v>
      </c>
      <c r="K172" s="10" t="s">
        <v>780</v>
      </c>
    </row>
    <row r="173" customFormat="false" ht="46.25" hidden="false" customHeight="false" outlineLevel="0" collapsed="false">
      <c r="A173" s="11" t="s">
        <v>183</v>
      </c>
      <c r="B173" s="9" t="s">
        <v>298</v>
      </c>
      <c r="C173" s="10" t="s">
        <v>299</v>
      </c>
      <c r="D173" s="10" t="s">
        <v>781</v>
      </c>
      <c r="E173" s="11" t="s">
        <v>524</v>
      </c>
      <c r="F173" s="11" t="s">
        <v>194</v>
      </c>
      <c r="G173" s="10" t="s">
        <v>365</v>
      </c>
      <c r="H173" s="10" t="s">
        <v>782</v>
      </c>
      <c r="I173" s="11" t="n">
        <v>3</v>
      </c>
      <c r="J173" s="11" t="str">
        <f aca="false">IF(I173&gt;=4,"Completo","Parcial")</f>
        <v>Parcial</v>
      </c>
      <c r="K173" s="10" t="s">
        <v>783</v>
      </c>
    </row>
    <row r="174" customFormat="false" ht="35.05" hidden="false" customHeight="false" outlineLevel="0" collapsed="false">
      <c r="A174" s="11" t="s">
        <v>183</v>
      </c>
      <c r="B174" s="9" t="s">
        <v>301</v>
      </c>
      <c r="C174" s="10" t="s">
        <v>302</v>
      </c>
      <c r="D174" s="10" t="s">
        <v>325</v>
      </c>
      <c r="E174" s="11" t="s">
        <v>517</v>
      </c>
      <c r="F174" s="11" t="s">
        <v>86</v>
      </c>
      <c r="G174" s="10" t="s">
        <v>382</v>
      </c>
      <c r="H174" s="10" t="s">
        <v>505</v>
      </c>
      <c r="I174" s="11" t="n">
        <v>1</v>
      </c>
      <c r="J174" s="11" t="str">
        <f aca="false">IF(I174&gt;=4,"Completo","Parcial")</f>
        <v>Parcial</v>
      </c>
      <c r="K174" s="10" t="s">
        <v>784</v>
      </c>
    </row>
    <row r="175" customFormat="false" ht="35.05" hidden="false" customHeight="false" outlineLevel="0" collapsed="false">
      <c r="A175" s="11" t="s">
        <v>183</v>
      </c>
      <c r="B175" s="9" t="s">
        <v>301</v>
      </c>
      <c r="C175" s="10" t="s">
        <v>302</v>
      </c>
      <c r="D175" s="10" t="s">
        <v>325</v>
      </c>
      <c r="E175" s="11" t="s">
        <v>517</v>
      </c>
      <c r="F175" s="11" t="s">
        <v>194</v>
      </c>
      <c r="G175" s="10" t="s">
        <v>365</v>
      </c>
      <c r="H175" s="10" t="s">
        <v>506</v>
      </c>
      <c r="I175" s="11" t="n">
        <v>2</v>
      </c>
      <c r="J175" s="11" t="str">
        <f aca="false">IF(I175&gt;=4,"Completo","Parcial")</f>
        <v>Parcial</v>
      </c>
      <c r="K175" s="10" t="s">
        <v>785</v>
      </c>
    </row>
    <row r="176" customFormat="false" ht="35.05" hidden="false" customHeight="false" outlineLevel="0" collapsed="false">
      <c r="A176" s="11" t="s">
        <v>183</v>
      </c>
      <c r="B176" s="9" t="s">
        <v>304</v>
      </c>
      <c r="C176" s="10" t="s">
        <v>305</v>
      </c>
      <c r="D176" s="10" t="s">
        <v>325</v>
      </c>
      <c r="E176" s="11" t="s">
        <v>517</v>
      </c>
      <c r="F176" s="11" t="s">
        <v>306</v>
      </c>
      <c r="G176" s="10" t="s">
        <v>786</v>
      </c>
      <c r="H176" s="10" t="s">
        <v>787</v>
      </c>
      <c r="I176" s="11" t="n">
        <v>1</v>
      </c>
      <c r="J176" s="11" t="str">
        <f aca="false">IF(I176&gt;=4,"Completo","Parcial")</f>
        <v>Parcial</v>
      </c>
      <c r="K176" s="10" t="s">
        <v>788</v>
      </c>
    </row>
    <row r="177" customFormat="false" ht="35.05" hidden="false" customHeight="false" outlineLevel="0" collapsed="false">
      <c r="A177" s="11" t="s">
        <v>165</v>
      </c>
      <c r="B177" s="9" t="s">
        <v>307</v>
      </c>
      <c r="C177" s="10" t="s">
        <v>308</v>
      </c>
      <c r="D177" s="10" t="s">
        <v>325</v>
      </c>
      <c r="E177" s="11" t="s">
        <v>517</v>
      </c>
      <c r="F177" s="11" t="s">
        <v>309</v>
      </c>
      <c r="G177" s="10" t="s">
        <v>433</v>
      </c>
      <c r="H177" s="10" t="s">
        <v>789</v>
      </c>
      <c r="I177" s="11" t="n">
        <v>2</v>
      </c>
      <c r="J177" s="11" t="str">
        <f aca="false">IF(I177&gt;=4,"Completo","Parcial")</f>
        <v>Parcial</v>
      </c>
      <c r="K177" s="10" t="s">
        <v>790</v>
      </c>
    </row>
    <row r="178" customFormat="false" ht="23.85" hidden="false" customHeight="false" outlineLevel="0" collapsed="false">
      <c r="A178" s="11" t="s">
        <v>211</v>
      </c>
      <c r="B178" s="9" t="s">
        <v>310</v>
      </c>
      <c r="C178" s="10" t="s">
        <v>311</v>
      </c>
      <c r="D178" s="10" t="s">
        <v>325</v>
      </c>
      <c r="E178" s="11" t="s">
        <v>517</v>
      </c>
      <c r="F178" s="11" t="s">
        <v>312</v>
      </c>
      <c r="G178" s="10" t="s">
        <v>791</v>
      </c>
      <c r="H178" s="10" t="s">
        <v>792</v>
      </c>
      <c r="I178" s="11" t="n">
        <v>1</v>
      </c>
      <c r="J178" s="11" t="str">
        <f aca="false">IF(I178&gt;=4,"Completo","Parcial")</f>
        <v>Parcial</v>
      </c>
      <c r="K178" s="10" t="s">
        <v>793</v>
      </c>
    </row>
    <row r="179" customFormat="false" ht="23.85" hidden="false" customHeight="false" outlineLevel="0" collapsed="false">
      <c r="A179" s="11" t="s">
        <v>211</v>
      </c>
      <c r="B179" s="9" t="s">
        <v>310</v>
      </c>
      <c r="C179" s="10" t="s">
        <v>311</v>
      </c>
      <c r="D179" s="10" t="s">
        <v>794</v>
      </c>
      <c r="E179" s="11" t="s">
        <v>524</v>
      </c>
      <c r="F179" s="11" t="s">
        <v>312</v>
      </c>
      <c r="G179" s="10" t="s">
        <v>791</v>
      </c>
      <c r="H179" s="10" t="s">
        <v>795</v>
      </c>
      <c r="I179" s="11" t="n">
        <v>1</v>
      </c>
      <c r="J179" s="11" t="str">
        <f aca="false">IF(I179&gt;=4,"Completo","Parcial")</f>
        <v>Parcial</v>
      </c>
      <c r="K179" s="10" t="s">
        <v>796</v>
      </c>
    </row>
    <row r="180" customFormat="false" ht="35.05" hidden="false" customHeight="false" outlineLevel="0" collapsed="false">
      <c r="A180" s="11" t="s">
        <v>211</v>
      </c>
      <c r="B180" s="9" t="s">
        <v>314</v>
      </c>
      <c r="C180" s="10" t="s">
        <v>315</v>
      </c>
      <c r="D180" s="10" t="s">
        <v>325</v>
      </c>
      <c r="E180" s="11" t="s">
        <v>517</v>
      </c>
      <c r="F180" s="11" t="s">
        <v>226</v>
      </c>
      <c r="G180" s="10" t="s">
        <v>507</v>
      </c>
      <c r="H180" s="10" t="s">
        <v>508</v>
      </c>
      <c r="I180" s="11" t="n">
        <v>3</v>
      </c>
      <c r="J180" s="11" t="str">
        <f aca="false">IF(I180&gt;=4,"Completo","Parcial")</f>
        <v>Parcial</v>
      </c>
      <c r="K180" s="10" t="s">
        <v>797</v>
      </c>
    </row>
    <row r="181" customFormat="false" ht="35.05" hidden="false" customHeight="false" outlineLevel="0" collapsed="false">
      <c r="A181" s="11" t="s">
        <v>211</v>
      </c>
      <c r="B181" s="9" t="s">
        <v>314</v>
      </c>
      <c r="C181" s="10" t="s">
        <v>315</v>
      </c>
      <c r="D181" s="10" t="s">
        <v>325</v>
      </c>
      <c r="E181" s="11" t="s">
        <v>517</v>
      </c>
      <c r="F181" s="11" t="s">
        <v>509</v>
      </c>
      <c r="G181" s="10" t="s">
        <v>510</v>
      </c>
      <c r="H181" s="10" t="s">
        <v>511</v>
      </c>
      <c r="I181" s="11" t="n">
        <v>1</v>
      </c>
      <c r="J181" s="11" t="str">
        <f aca="false">IF(I181&gt;=4,"Completo","Parcial")</f>
        <v>Parcial</v>
      </c>
      <c r="K181" s="10" t="s">
        <v>798</v>
      </c>
    </row>
  </sheetData>
  <conditionalFormatting sqref="J2:J181">
    <cfRule type="cellIs" priority="2" operator="equal" aboveAverage="0" equalAverage="0" bottom="0" percent="0" rank="0" text="" dxfId="5">
      <formula>"Completo"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F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40"/>
    <col collapsed="false" customWidth="true" hidden="false" outlineLevel="0" max="2" min="2" style="0" width="8"/>
    <col collapsed="false" customWidth="true" hidden="false" outlineLevel="0" max="58" min="3" style="0" width="4.5"/>
  </cols>
  <sheetData>
    <row r="1" customFormat="false" ht="45" hidden="false" customHeight="true" outlineLevel="0" collapsed="false">
      <c r="A1" s="3" t="s">
        <v>3</v>
      </c>
      <c r="B1" s="3" t="s">
        <v>799</v>
      </c>
      <c r="C1" s="12" t="s">
        <v>252</v>
      </c>
      <c r="D1" s="12" t="s">
        <v>484</v>
      </c>
      <c r="E1" s="12" t="s">
        <v>147</v>
      </c>
      <c r="F1" s="12" t="s">
        <v>370</v>
      </c>
      <c r="G1" s="12" t="s">
        <v>323</v>
      </c>
      <c r="H1" s="12" t="s">
        <v>95</v>
      </c>
      <c r="I1" s="12" t="s">
        <v>56</v>
      </c>
      <c r="J1" s="12" t="s">
        <v>39</v>
      </c>
      <c r="K1" s="12" t="s">
        <v>278</v>
      </c>
      <c r="L1" s="12" t="s">
        <v>494</v>
      </c>
      <c r="M1" s="12" t="s">
        <v>35</v>
      </c>
      <c r="N1" s="12" t="s">
        <v>29</v>
      </c>
      <c r="O1" s="12" t="s">
        <v>62</v>
      </c>
      <c r="P1" s="12" t="s">
        <v>345</v>
      </c>
      <c r="Q1" s="12" t="s">
        <v>285</v>
      </c>
      <c r="R1" s="12" t="s">
        <v>73</v>
      </c>
      <c r="S1" s="12" t="s">
        <v>18</v>
      </c>
      <c r="T1" s="12" t="s">
        <v>244</v>
      </c>
      <c r="U1" s="12" t="s">
        <v>405</v>
      </c>
      <c r="V1" s="12" t="s">
        <v>386</v>
      </c>
      <c r="W1" s="12" t="s">
        <v>14</v>
      </c>
      <c r="X1" s="12" t="s">
        <v>53</v>
      </c>
      <c r="Y1" s="12" t="s">
        <v>201</v>
      </c>
      <c r="Z1" s="12" t="s">
        <v>106</v>
      </c>
      <c r="AA1" s="12" t="s">
        <v>109</v>
      </c>
      <c r="AB1" s="12" t="s">
        <v>118</v>
      </c>
      <c r="AC1" s="12" t="s">
        <v>389</v>
      </c>
      <c r="AD1" s="12" t="s">
        <v>129</v>
      </c>
      <c r="AE1" s="12" t="s">
        <v>270</v>
      </c>
      <c r="AF1" s="12" t="s">
        <v>362</v>
      </c>
      <c r="AG1" s="12" t="s">
        <v>126</v>
      </c>
      <c r="AH1" s="12" t="s">
        <v>86</v>
      </c>
      <c r="AI1" s="12" t="s">
        <v>150</v>
      </c>
      <c r="AJ1" s="12" t="s">
        <v>159</v>
      </c>
      <c r="AK1" s="12" t="s">
        <v>230</v>
      </c>
      <c r="AL1" s="12" t="s">
        <v>233</v>
      </c>
      <c r="AM1" s="12" t="s">
        <v>454</v>
      </c>
      <c r="AN1" s="12" t="s">
        <v>171</v>
      </c>
      <c r="AO1" s="12" t="s">
        <v>176</v>
      </c>
      <c r="AP1" s="12" t="s">
        <v>309</v>
      </c>
      <c r="AQ1" s="12" t="s">
        <v>182</v>
      </c>
      <c r="AR1" s="12" t="s">
        <v>186</v>
      </c>
      <c r="AS1" s="12" t="s">
        <v>194</v>
      </c>
      <c r="AT1" s="12" t="s">
        <v>459</v>
      </c>
      <c r="AU1" s="12" t="s">
        <v>205</v>
      </c>
      <c r="AV1" s="12" t="s">
        <v>306</v>
      </c>
      <c r="AW1" s="12" t="s">
        <v>214</v>
      </c>
      <c r="AX1" s="12" t="s">
        <v>312</v>
      </c>
      <c r="AY1" s="12" t="s">
        <v>223</v>
      </c>
      <c r="AZ1" s="12" t="s">
        <v>226</v>
      </c>
      <c r="BA1" s="12" t="s">
        <v>509</v>
      </c>
      <c r="BB1" s="12" t="s">
        <v>462</v>
      </c>
      <c r="BC1" s="12" t="s">
        <v>241</v>
      </c>
      <c r="BD1" s="12" t="s">
        <v>502</v>
      </c>
      <c r="BE1" s="12" t="s">
        <v>356</v>
      </c>
      <c r="BF1" s="12" t="s">
        <v>66</v>
      </c>
    </row>
    <row r="2" customFormat="false" ht="15" hidden="false" customHeight="false" outlineLevel="0" collapsed="false">
      <c r="A2" s="13" t="s">
        <v>12</v>
      </c>
      <c r="B2" s="14" t="n">
        <f aca="false">COUNTA(C2:BF2)</f>
        <v>1</v>
      </c>
      <c r="W2" s="15" t="s">
        <v>800</v>
      </c>
    </row>
    <row r="3" customFormat="false" ht="15" hidden="false" customHeight="false" outlineLevel="0" collapsed="false">
      <c r="A3" s="13" t="s">
        <v>16</v>
      </c>
      <c r="B3" s="14" t="n">
        <f aca="false">COUNTA(C3:BF3)</f>
        <v>1</v>
      </c>
      <c r="S3" s="15" t="s">
        <v>800</v>
      </c>
    </row>
    <row r="4" customFormat="false" ht="15" hidden="false" customHeight="false" outlineLevel="0" collapsed="false">
      <c r="A4" s="13" t="s">
        <v>19</v>
      </c>
      <c r="B4" s="14" t="n">
        <f aca="false">COUNTA(C4:BF4)</f>
        <v>2</v>
      </c>
      <c r="G4" s="15" t="s">
        <v>800</v>
      </c>
      <c r="S4" s="15" t="s">
        <v>801</v>
      </c>
    </row>
    <row r="5" customFormat="false" ht="15" hidden="false" customHeight="false" outlineLevel="0" collapsed="false">
      <c r="A5" s="13" t="s">
        <v>23</v>
      </c>
      <c r="B5" s="14" t="n">
        <f aca="false">COUNTA(C5:BF5)</f>
        <v>2</v>
      </c>
      <c r="M5" s="15" t="s">
        <v>802</v>
      </c>
      <c r="AO5" s="15" t="s">
        <v>802</v>
      </c>
    </row>
    <row r="6" customFormat="false" ht="15" hidden="false" customHeight="false" outlineLevel="0" collapsed="false">
      <c r="A6" s="13" t="s">
        <v>27</v>
      </c>
      <c r="B6" s="14" t="n">
        <f aca="false">COUNTA(C6:BF6)</f>
        <v>1</v>
      </c>
      <c r="N6" s="15" t="s">
        <v>801</v>
      </c>
    </row>
    <row r="7" customFormat="false" ht="15" hidden="false" customHeight="false" outlineLevel="0" collapsed="false">
      <c r="A7" s="13" t="s">
        <v>31</v>
      </c>
      <c r="B7" s="14" t="n">
        <f aca="false">COUNTA(C7:BF7)</f>
        <v>1</v>
      </c>
      <c r="N7" s="15" t="s">
        <v>800</v>
      </c>
    </row>
    <row r="8" customFormat="false" ht="15" hidden="false" customHeight="false" outlineLevel="0" collapsed="false">
      <c r="A8" s="13" t="s">
        <v>33</v>
      </c>
      <c r="B8" s="14" t="n">
        <f aca="false">COUNTA(C8:BF8)</f>
        <v>1</v>
      </c>
      <c r="M8" s="15" t="s">
        <v>801</v>
      </c>
    </row>
    <row r="9" customFormat="false" ht="15" hidden="false" customHeight="false" outlineLevel="0" collapsed="false">
      <c r="A9" s="13" t="s">
        <v>37</v>
      </c>
      <c r="B9" s="14" t="n">
        <f aca="false">COUNTA(C9:BF9)</f>
        <v>1</v>
      </c>
      <c r="J9" s="15" t="s">
        <v>801</v>
      </c>
    </row>
    <row r="10" customFormat="false" ht="15" hidden="false" customHeight="false" outlineLevel="0" collapsed="false">
      <c r="A10" s="13" t="s">
        <v>41</v>
      </c>
      <c r="B10" s="14" t="n">
        <f aca="false">COUNTA(C10:BF10)</f>
        <v>1</v>
      </c>
      <c r="J10" s="15" t="s">
        <v>802</v>
      </c>
    </row>
    <row r="11" customFormat="false" ht="15" hidden="false" customHeight="false" outlineLevel="0" collapsed="false">
      <c r="A11" s="13" t="s">
        <v>44</v>
      </c>
      <c r="B11" s="14" t="n">
        <f aca="false">COUNTA(C11:BF11)</f>
        <v>2</v>
      </c>
      <c r="J11" s="15" t="s">
        <v>800</v>
      </c>
      <c r="AL11" s="15" t="s">
        <v>802</v>
      </c>
    </row>
    <row r="12" customFormat="false" ht="15" hidden="false" customHeight="false" outlineLevel="0" collapsed="false">
      <c r="A12" s="13" t="s">
        <v>47</v>
      </c>
      <c r="B12" s="14" t="n">
        <f aca="false">COUNTA(C12:BF12)</f>
        <v>2</v>
      </c>
      <c r="K12" s="15" t="s">
        <v>800</v>
      </c>
      <c r="P12" s="15" t="s">
        <v>801</v>
      </c>
    </row>
    <row r="13" customFormat="false" ht="15" hidden="false" customHeight="false" outlineLevel="0" collapsed="false">
      <c r="A13" s="13" t="s">
        <v>51</v>
      </c>
      <c r="B13" s="14" t="n">
        <f aca="false">COUNTA(C13:BF13)</f>
        <v>1</v>
      </c>
      <c r="X13" s="15" t="s">
        <v>800</v>
      </c>
    </row>
    <row r="14" customFormat="false" ht="15" hidden="false" customHeight="false" outlineLevel="0" collapsed="false">
      <c r="A14" s="13" t="s">
        <v>54</v>
      </c>
      <c r="B14" s="14" t="n">
        <f aca="false">COUNTA(C14:BF14)</f>
        <v>1</v>
      </c>
      <c r="I14" s="15" t="s">
        <v>800</v>
      </c>
    </row>
    <row r="15" customFormat="false" ht="15" hidden="false" customHeight="false" outlineLevel="0" collapsed="false">
      <c r="A15" s="13" t="s">
        <v>57</v>
      </c>
      <c r="B15" s="14" t="n">
        <f aca="false">COUNTA(C15:BF15)</f>
        <v>1</v>
      </c>
      <c r="I15" s="15" t="s">
        <v>800</v>
      </c>
    </row>
    <row r="16" customFormat="false" ht="15" hidden="false" customHeight="false" outlineLevel="0" collapsed="false">
      <c r="A16" s="13" t="s">
        <v>60</v>
      </c>
      <c r="B16" s="14" t="n">
        <f aca="false">COUNTA(C16:BF16)</f>
        <v>1</v>
      </c>
      <c r="O16" s="15" t="s">
        <v>800</v>
      </c>
    </row>
    <row r="17" customFormat="false" ht="15" hidden="false" customHeight="false" outlineLevel="0" collapsed="false">
      <c r="A17" s="13" t="s">
        <v>64</v>
      </c>
      <c r="B17" s="14" t="n">
        <f aca="false">COUNTA(C17:BF17)</f>
        <v>2</v>
      </c>
      <c r="O17" s="15" t="s">
        <v>802</v>
      </c>
      <c r="BF17" s="15" t="s">
        <v>800</v>
      </c>
    </row>
    <row r="18" customFormat="false" ht="15" hidden="false" customHeight="false" outlineLevel="0" collapsed="false">
      <c r="A18" s="13" t="s">
        <v>68</v>
      </c>
      <c r="B18" s="14" t="n">
        <f aca="false">COUNTA(C18:BF18)</f>
        <v>2</v>
      </c>
      <c r="BE18" s="15" t="s">
        <v>802</v>
      </c>
      <c r="BF18" s="15" t="s">
        <v>800</v>
      </c>
    </row>
    <row r="19" customFormat="false" ht="15" hidden="false" customHeight="false" outlineLevel="0" collapsed="false">
      <c r="A19" s="13" t="s">
        <v>71</v>
      </c>
      <c r="B19" s="14" t="n">
        <f aca="false">COUNTA(C19:BF19)</f>
        <v>1</v>
      </c>
      <c r="R19" s="15" t="s">
        <v>801</v>
      </c>
    </row>
    <row r="20" customFormat="false" ht="15" hidden="false" customHeight="false" outlineLevel="0" collapsed="false">
      <c r="A20" s="13" t="s">
        <v>76</v>
      </c>
      <c r="B20" s="14" t="n">
        <f aca="false">COUNTA(C20:BF20)</f>
        <v>4</v>
      </c>
      <c r="E20" s="15" t="s">
        <v>802</v>
      </c>
      <c r="AD20" s="15" t="s">
        <v>800</v>
      </c>
      <c r="AF20" s="15" t="s">
        <v>800</v>
      </c>
      <c r="AS20" s="15" t="s">
        <v>800</v>
      </c>
    </row>
    <row r="21" customFormat="false" ht="15" hidden="false" customHeight="false" outlineLevel="0" collapsed="false">
      <c r="A21" s="13" t="s">
        <v>80</v>
      </c>
      <c r="B21" s="14" t="n">
        <f aca="false">COUNTA(C21:BF21)</f>
        <v>4</v>
      </c>
      <c r="F21" s="15" t="s">
        <v>800</v>
      </c>
      <c r="AD21" s="15" t="s">
        <v>800</v>
      </c>
      <c r="AE21" s="15" t="s">
        <v>802</v>
      </c>
      <c r="AF21" s="15" t="s">
        <v>800</v>
      </c>
    </row>
    <row r="22" customFormat="false" ht="15" hidden="false" customHeight="false" outlineLevel="0" collapsed="false">
      <c r="A22" s="13" t="s">
        <v>84</v>
      </c>
      <c r="B22" s="14" t="n">
        <f aca="false">COUNTA(C22:BF22)</f>
        <v>1</v>
      </c>
      <c r="AH22" s="15" t="s">
        <v>800</v>
      </c>
    </row>
    <row r="23" customFormat="false" ht="15" hidden="false" customHeight="false" outlineLevel="0" collapsed="false">
      <c r="A23" s="13" t="s">
        <v>87</v>
      </c>
      <c r="B23" s="14" t="n">
        <f aca="false">COUNTA(C23:BF23)</f>
        <v>2</v>
      </c>
      <c r="G23" s="15" t="s">
        <v>800</v>
      </c>
      <c r="R23" s="15" t="s">
        <v>800</v>
      </c>
    </row>
    <row r="24" customFormat="false" ht="15" hidden="false" customHeight="false" outlineLevel="0" collapsed="false">
      <c r="A24" s="13" t="s">
        <v>90</v>
      </c>
      <c r="B24" s="14" t="n">
        <f aca="false">COUNTA(C24:BF24)</f>
        <v>2</v>
      </c>
      <c r="G24" s="15" t="s">
        <v>800</v>
      </c>
      <c r="AH24" s="15" t="s">
        <v>800</v>
      </c>
    </row>
    <row r="25" customFormat="false" ht="15" hidden="false" customHeight="false" outlineLevel="0" collapsed="false">
      <c r="A25" s="13" t="s">
        <v>93</v>
      </c>
      <c r="B25" s="14" t="n">
        <f aca="false">COUNTA(C25:BF25)</f>
        <v>1</v>
      </c>
      <c r="H25" s="15" t="s">
        <v>801</v>
      </c>
    </row>
    <row r="26" customFormat="false" ht="15" hidden="false" customHeight="false" outlineLevel="0" collapsed="false">
      <c r="A26" s="13" t="s">
        <v>97</v>
      </c>
      <c r="B26" s="14" t="n">
        <f aca="false">COUNTA(C26:BF26)</f>
        <v>5</v>
      </c>
      <c r="H26" s="15" t="s">
        <v>800</v>
      </c>
      <c r="V26" s="15" t="s">
        <v>800</v>
      </c>
      <c r="AC26" s="15" t="s">
        <v>800</v>
      </c>
      <c r="AG26" s="15" t="s">
        <v>800</v>
      </c>
      <c r="AH26" s="15" t="s">
        <v>800</v>
      </c>
    </row>
    <row r="27" customFormat="false" ht="15" hidden="false" customHeight="false" outlineLevel="0" collapsed="false">
      <c r="A27" s="13" t="s">
        <v>100</v>
      </c>
      <c r="B27" s="14" t="n">
        <f aca="false">COUNTA(C27:BF27)</f>
        <v>3</v>
      </c>
      <c r="F27" s="15" t="s">
        <v>800</v>
      </c>
      <c r="W27" s="15" t="s">
        <v>800</v>
      </c>
      <c r="Z27" s="15" t="s">
        <v>801</v>
      </c>
    </row>
    <row r="28" customFormat="false" ht="15" hidden="false" customHeight="false" outlineLevel="0" collapsed="false">
      <c r="A28" s="13" t="s">
        <v>104</v>
      </c>
      <c r="B28" s="14" t="n">
        <f aca="false">COUNTA(C28:BF28)</f>
        <v>1</v>
      </c>
      <c r="Z28" s="15" t="s">
        <v>800</v>
      </c>
    </row>
    <row r="29" customFormat="false" ht="15" hidden="false" customHeight="false" outlineLevel="0" collapsed="false">
      <c r="A29" s="13" t="s">
        <v>107</v>
      </c>
      <c r="B29" s="14" t="n">
        <f aca="false">COUNTA(C29:BF29)</f>
        <v>1</v>
      </c>
      <c r="AA29" s="15" t="s">
        <v>801</v>
      </c>
    </row>
    <row r="30" customFormat="false" ht="15" hidden="false" customHeight="false" outlineLevel="0" collapsed="false">
      <c r="A30" s="13" t="s">
        <v>111</v>
      </c>
      <c r="B30" s="14" t="n">
        <f aca="false">COUNTA(C30:BF30)</f>
        <v>2</v>
      </c>
      <c r="AA30" s="15" t="s">
        <v>800</v>
      </c>
      <c r="AK30" s="15" t="s">
        <v>800</v>
      </c>
    </row>
    <row r="31" customFormat="false" ht="15" hidden="false" customHeight="false" outlineLevel="0" collapsed="false">
      <c r="A31" s="13" t="s">
        <v>114</v>
      </c>
      <c r="B31" s="14" t="n">
        <f aca="false">COUNTA(C31:BF31)</f>
        <v>1</v>
      </c>
      <c r="AH31" s="15" t="s">
        <v>800</v>
      </c>
    </row>
    <row r="32" customFormat="false" ht="15" hidden="false" customHeight="false" outlineLevel="0" collapsed="false">
      <c r="A32" s="13" t="s">
        <v>116</v>
      </c>
      <c r="B32" s="14" t="n">
        <f aca="false">COUNTA(C32:BF32)</f>
        <v>1</v>
      </c>
      <c r="AB32" s="15" t="s">
        <v>801</v>
      </c>
    </row>
    <row r="33" customFormat="false" ht="15" hidden="false" customHeight="false" outlineLevel="0" collapsed="false">
      <c r="A33" s="13" t="s">
        <v>120</v>
      </c>
      <c r="B33" s="14" t="n">
        <f aca="false">COUNTA(C33:BF33)</f>
        <v>1</v>
      </c>
      <c r="AB33" s="15" t="s">
        <v>800</v>
      </c>
    </row>
    <row r="34" customFormat="false" ht="15" hidden="false" customHeight="false" outlineLevel="0" collapsed="false">
      <c r="A34" s="13" t="s">
        <v>122</v>
      </c>
      <c r="B34" s="14" t="n">
        <f aca="false">COUNTA(C34:BF34)</f>
        <v>1</v>
      </c>
      <c r="AB34" s="15" t="s">
        <v>800</v>
      </c>
    </row>
    <row r="35" customFormat="false" ht="15" hidden="false" customHeight="false" outlineLevel="0" collapsed="false">
      <c r="A35" s="13" t="s">
        <v>124</v>
      </c>
      <c r="B35" s="14" t="n">
        <f aca="false">COUNTA(C35:BF35)</f>
        <v>1</v>
      </c>
      <c r="AG35" s="15" t="s">
        <v>800</v>
      </c>
    </row>
    <row r="36" customFormat="false" ht="15" hidden="false" customHeight="false" outlineLevel="0" collapsed="false">
      <c r="A36" s="13" t="s">
        <v>127</v>
      </c>
      <c r="B36" s="14" t="n">
        <f aca="false">COUNTA(C36:BF36)</f>
        <v>1</v>
      </c>
      <c r="AD36" s="15" t="s">
        <v>800</v>
      </c>
    </row>
    <row r="37" customFormat="false" ht="15" hidden="false" customHeight="false" outlineLevel="0" collapsed="false">
      <c r="A37" s="13" t="s">
        <v>131</v>
      </c>
      <c r="B37" s="14" t="n">
        <f aca="false">COUNTA(C37:BF37)</f>
        <v>2</v>
      </c>
      <c r="H37" s="15" t="s">
        <v>800</v>
      </c>
      <c r="U37" s="15" t="s">
        <v>801</v>
      </c>
    </row>
    <row r="38" customFormat="false" ht="15" hidden="false" customHeight="false" outlineLevel="0" collapsed="false">
      <c r="A38" s="13" t="s">
        <v>135</v>
      </c>
      <c r="B38" s="14" t="n">
        <f aca="false">COUNTA(C38:BF38)</f>
        <v>1</v>
      </c>
      <c r="U38" s="15" t="s">
        <v>802</v>
      </c>
    </row>
    <row r="39" customFormat="false" ht="15" hidden="false" customHeight="false" outlineLevel="0" collapsed="false">
      <c r="A39" s="13" t="s">
        <v>138</v>
      </c>
      <c r="B39" s="14" t="n">
        <f aca="false">COUNTA(C39:BF39)</f>
        <v>2</v>
      </c>
      <c r="T39" s="15" t="s">
        <v>800</v>
      </c>
      <c r="V39" s="15" t="s">
        <v>800</v>
      </c>
    </row>
    <row r="40" customFormat="false" ht="15" hidden="false" customHeight="false" outlineLevel="0" collapsed="false">
      <c r="A40" s="13" t="s">
        <v>141</v>
      </c>
      <c r="B40" s="14" t="n">
        <f aca="false">COUNTA(C40:BF40)</f>
        <v>2</v>
      </c>
      <c r="V40" s="15" t="s">
        <v>800</v>
      </c>
      <c r="AG40" s="15" t="s">
        <v>800</v>
      </c>
    </row>
    <row r="41" customFormat="false" ht="15" hidden="false" customHeight="false" outlineLevel="0" collapsed="false">
      <c r="A41" s="13" t="s">
        <v>145</v>
      </c>
      <c r="B41" s="14" t="n">
        <f aca="false">COUNTA(C41:BF41)</f>
        <v>1</v>
      </c>
      <c r="E41" s="15" t="s">
        <v>800</v>
      </c>
    </row>
    <row r="42" customFormat="false" ht="15" hidden="false" customHeight="false" outlineLevel="0" collapsed="false">
      <c r="A42" s="13" t="s">
        <v>148</v>
      </c>
      <c r="B42" s="14" t="n">
        <f aca="false">COUNTA(C42:BF42)</f>
        <v>1</v>
      </c>
      <c r="AI42" s="15" t="s">
        <v>800</v>
      </c>
    </row>
    <row r="43" customFormat="false" ht="15" hidden="false" customHeight="false" outlineLevel="0" collapsed="false">
      <c r="A43" s="13" t="s">
        <v>151</v>
      </c>
      <c r="B43" s="14" t="n">
        <f aca="false">COUNTA(C43:BF43)</f>
        <v>2</v>
      </c>
      <c r="W43" s="15" t="s">
        <v>800</v>
      </c>
      <c r="AI43" s="15" t="s">
        <v>800</v>
      </c>
    </row>
    <row r="44" customFormat="false" ht="15" hidden="false" customHeight="false" outlineLevel="0" collapsed="false">
      <c r="A44" s="13" t="s">
        <v>154</v>
      </c>
      <c r="B44" s="14" t="n">
        <f aca="false">COUNTA(C44:BF44)</f>
        <v>3</v>
      </c>
      <c r="W44" s="15" t="s">
        <v>800</v>
      </c>
      <c r="AB44" s="15" t="s">
        <v>800</v>
      </c>
      <c r="AD44" s="15" t="s">
        <v>800</v>
      </c>
    </row>
    <row r="45" customFormat="false" ht="15" hidden="false" customHeight="false" outlineLevel="0" collapsed="false">
      <c r="A45" s="13" t="s">
        <v>157</v>
      </c>
      <c r="B45" s="14" t="n">
        <f aca="false">COUNTA(C45:BF45)</f>
        <v>2</v>
      </c>
      <c r="AD45" s="15" t="s">
        <v>802</v>
      </c>
      <c r="AJ45" s="15" t="s">
        <v>801</v>
      </c>
    </row>
    <row r="46" customFormat="false" ht="15" hidden="false" customHeight="false" outlineLevel="0" collapsed="false">
      <c r="A46" s="13" t="s">
        <v>161</v>
      </c>
      <c r="B46" s="14" t="n">
        <f aca="false">COUNTA(C46:BF46)</f>
        <v>1</v>
      </c>
      <c r="AJ46" s="15" t="s">
        <v>800</v>
      </c>
    </row>
    <row r="47" customFormat="false" ht="15" hidden="false" customHeight="false" outlineLevel="0" collapsed="false">
      <c r="A47" s="13" t="s">
        <v>163</v>
      </c>
      <c r="B47" s="14" t="n">
        <f aca="false">COUNTA(C47:BF47)</f>
        <v>1</v>
      </c>
      <c r="AJ47" s="15" t="s">
        <v>800</v>
      </c>
    </row>
    <row r="48" customFormat="false" ht="15" hidden="false" customHeight="false" outlineLevel="0" collapsed="false">
      <c r="A48" s="13" t="s">
        <v>166</v>
      </c>
      <c r="B48" s="14" t="n">
        <f aca="false">COUNTA(C48:BF48)</f>
        <v>2</v>
      </c>
      <c r="C48" s="15" t="s">
        <v>800</v>
      </c>
      <c r="AN48" s="15" t="s">
        <v>800</v>
      </c>
    </row>
    <row r="49" customFormat="false" ht="15" hidden="false" customHeight="false" outlineLevel="0" collapsed="false">
      <c r="A49" s="13" t="s">
        <v>169</v>
      </c>
      <c r="B49" s="14" t="n">
        <f aca="false">COUNTA(C49:BF49)</f>
        <v>1</v>
      </c>
      <c r="AN49" s="15" t="s">
        <v>800</v>
      </c>
    </row>
    <row r="50" customFormat="false" ht="15" hidden="false" customHeight="false" outlineLevel="0" collapsed="false">
      <c r="A50" s="13" t="s">
        <v>172</v>
      </c>
      <c r="B50" s="14" t="n">
        <f aca="false">COUNTA(C50:BF50)</f>
        <v>1</v>
      </c>
      <c r="AN50" s="15" t="s">
        <v>800</v>
      </c>
    </row>
    <row r="51" customFormat="false" ht="15" hidden="false" customHeight="false" outlineLevel="0" collapsed="false">
      <c r="A51" s="13" t="s">
        <v>174</v>
      </c>
      <c r="B51" s="14" t="n">
        <f aca="false">COUNTA(C51:BF51)</f>
        <v>1</v>
      </c>
      <c r="AO51" s="15" t="s">
        <v>800</v>
      </c>
    </row>
    <row r="52" customFormat="false" ht="15" hidden="false" customHeight="false" outlineLevel="0" collapsed="false">
      <c r="A52" s="13" t="s">
        <v>177</v>
      </c>
      <c r="B52" s="14" t="n">
        <f aca="false">COUNTA(C52:BF52)</f>
        <v>3</v>
      </c>
      <c r="AO52" s="15" t="s">
        <v>801</v>
      </c>
      <c r="AP52" s="15" t="s">
        <v>802</v>
      </c>
      <c r="AQ52" s="15" t="s">
        <v>802</v>
      </c>
    </row>
    <row r="53" customFormat="false" ht="15" hidden="false" customHeight="false" outlineLevel="0" collapsed="false">
      <c r="A53" s="13" t="s">
        <v>180</v>
      </c>
      <c r="B53" s="14" t="n">
        <f aca="false">COUNTA(C53:BF53)</f>
        <v>1</v>
      </c>
      <c r="AQ53" s="15" t="s">
        <v>800</v>
      </c>
    </row>
    <row r="54" customFormat="false" ht="15" hidden="false" customHeight="false" outlineLevel="0" collapsed="false">
      <c r="A54" s="13" t="s">
        <v>184</v>
      </c>
      <c r="B54" s="14" t="n">
        <f aca="false">COUNTA(C54:BF54)</f>
        <v>1</v>
      </c>
      <c r="AR54" s="15" t="s">
        <v>800</v>
      </c>
    </row>
    <row r="55" customFormat="false" ht="15" hidden="false" customHeight="false" outlineLevel="0" collapsed="false">
      <c r="A55" s="13" t="s">
        <v>187</v>
      </c>
      <c r="B55" s="14" t="n">
        <f aca="false">COUNTA(C55:BF55)</f>
        <v>1</v>
      </c>
      <c r="AR55" s="15" t="s">
        <v>800</v>
      </c>
    </row>
    <row r="56" customFormat="false" ht="15" hidden="false" customHeight="false" outlineLevel="0" collapsed="false">
      <c r="A56" s="13" t="s">
        <v>189</v>
      </c>
      <c r="B56" s="14" t="n">
        <f aca="false">COUNTA(C56:BF56)</f>
        <v>2</v>
      </c>
      <c r="AD56" s="15" t="s">
        <v>800</v>
      </c>
      <c r="AR56" s="15" t="s">
        <v>802</v>
      </c>
    </row>
    <row r="57" customFormat="false" ht="15" hidden="false" customHeight="false" outlineLevel="0" collapsed="false">
      <c r="A57" s="13" t="s">
        <v>192</v>
      </c>
      <c r="B57" s="14" t="n">
        <f aca="false">COUNTA(C57:BF57)</f>
        <v>1</v>
      </c>
      <c r="AS57" s="15" t="s">
        <v>801</v>
      </c>
    </row>
    <row r="58" customFormat="false" ht="15" hidden="false" customHeight="false" outlineLevel="0" collapsed="false">
      <c r="A58" s="13" t="s">
        <v>196</v>
      </c>
      <c r="B58" s="14" t="n">
        <f aca="false">COUNTA(C58:BF58)</f>
        <v>2</v>
      </c>
      <c r="AR58" s="15" t="s">
        <v>801</v>
      </c>
      <c r="AS58" s="15" t="s">
        <v>802</v>
      </c>
    </row>
    <row r="59" customFormat="false" ht="15" hidden="false" customHeight="false" outlineLevel="0" collapsed="false">
      <c r="A59" s="13" t="s">
        <v>199</v>
      </c>
      <c r="B59" s="14" t="n">
        <f aca="false">COUNTA(C59:BF59)</f>
        <v>2</v>
      </c>
      <c r="Y59" s="15" t="s">
        <v>801</v>
      </c>
      <c r="AH59" s="15" t="s">
        <v>802</v>
      </c>
    </row>
    <row r="60" customFormat="false" ht="15" hidden="false" customHeight="false" outlineLevel="0" collapsed="false">
      <c r="A60" s="13" t="s">
        <v>203</v>
      </c>
      <c r="B60" s="14" t="n">
        <f aca="false">COUNTA(C60:BF60)</f>
        <v>1</v>
      </c>
      <c r="AU60" s="15" t="s">
        <v>800</v>
      </c>
    </row>
    <row r="61" customFormat="false" ht="15" hidden="false" customHeight="false" outlineLevel="0" collapsed="false">
      <c r="A61" s="13" t="s">
        <v>206</v>
      </c>
      <c r="B61" s="14" t="n">
        <f aca="false">COUNTA(C61:BF61)</f>
        <v>1</v>
      </c>
      <c r="AU61" s="15" t="s">
        <v>802</v>
      </c>
    </row>
    <row r="62" customFormat="false" ht="15" hidden="false" customHeight="false" outlineLevel="0" collapsed="false">
      <c r="A62" s="13" t="s">
        <v>209</v>
      </c>
      <c r="B62" s="14" t="n">
        <f aca="false">COUNTA(C62:BF62)</f>
        <v>1</v>
      </c>
      <c r="AU62" s="15" t="s">
        <v>800</v>
      </c>
    </row>
    <row r="63" customFormat="false" ht="15" hidden="false" customHeight="false" outlineLevel="0" collapsed="false">
      <c r="A63" s="13" t="s">
        <v>212</v>
      </c>
      <c r="B63" s="14" t="n">
        <f aca="false">COUNTA(C63:BF63)</f>
        <v>1</v>
      </c>
      <c r="AW63" s="15" t="s">
        <v>801</v>
      </c>
    </row>
    <row r="64" customFormat="false" ht="15" hidden="false" customHeight="false" outlineLevel="0" collapsed="false">
      <c r="A64" s="13" t="s">
        <v>216</v>
      </c>
      <c r="B64" s="14" t="n">
        <f aca="false">COUNTA(C64:BF64)</f>
        <v>3</v>
      </c>
      <c r="AK64" s="15" t="s">
        <v>800</v>
      </c>
      <c r="AM64" s="15" t="s">
        <v>800</v>
      </c>
      <c r="AW64" s="15" t="s">
        <v>800</v>
      </c>
    </row>
    <row r="65" customFormat="false" ht="15" hidden="false" customHeight="false" outlineLevel="0" collapsed="false">
      <c r="A65" s="13" t="s">
        <v>219</v>
      </c>
      <c r="B65" s="14" t="n">
        <f aca="false">COUNTA(C65:BF65)</f>
        <v>1</v>
      </c>
      <c r="AW65" s="15" t="s">
        <v>800</v>
      </c>
    </row>
    <row r="66" customFormat="false" ht="15" hidden="false" customHeight="false" outlineLevel="0" collapsed="false">
      <c r="A66" s="13" t="s">
        <v>221</v>
      </c>
      <c r="B66" s="14" t="n">
        <f aca="false">COUNTA(C66:BF66)</f>
        <v>1</v>
      </c>
      <c r="AY66" s="15" t="s">
        <v>800</v>
      </c>
    </row>
    <row r="67" customFormat="false" ht="15" hidden="false" customHeight="false" outlineLevel="0" collapsed="false">
      <c r="A67" s="13" t="s">
        <v>224</v>
      </c>
      <c r="B67" s="14" t="n">
        <f aca="false">COUNTA(C67:BF67)</f>
        <v>1</v>
      </c>
      <c r="AZ67" s="15" t="s">
        <v>801</v>
      </c>
    </row>
    <row r="68" customFormat="false" ht="15" hidden="false" customHeight="false" outlineLevel="0" collapsed="false">
      <c r="A68" s="13" t="s">
        <v>228</v>
      </c>
      <c r="B68" s="14" t="n">
        <f aca="false">COUNTA(C68:BF68)</f>
        <v>1</v>
      </c>
      <c r="AK68" s="15" t="s">
        <v>800</v>
      </c>
    </row>
    <row r="69" customFormat="false" ht="15" hidden="false" customHeight="false" outlineLevel="0" collapsed="false">
      <c r="A69" s="13" t="s">
        <v>231</v>
      </c>
      <c r="B69" s="14" t="n">
        <f aca="false">COUNTA(C69:BF69)</f>
        <v>1</v>
      </c>
      <c r="AL69" s="15" t="s">
        <v>800</v>
      </c>
    </row>
    <row r="70" customFormat="false" ht="15" hidden="false" customHeight="false" outlineLevel="0" collapsed="false">
      <c r="A70" s="13" t="s">
        <v>234</v>
      </c>
      <c r="B70" s="14" t="n">
        <f aca="false">COUNTA(C70:BF70)</f>
        <v>1</v>
      </c>
      <c r="AZ70" s="15" t="s">
        <v>800</v>
      </c>
    </row>
    <row r="71" customFormat="false" ht="15" hidden="false" customHeight="false" outlineLevel="0" collapsed="false">
      <c r="A71" s="13" t="s">
        <v>236</v>
      </c>
      <c r="B71" s="14" t="n">
        <f aca="false">COUNTA(C71:BF71)</f>
        <v>1</v>
      </c>
      <c r="H71" s="15" t="s">
        <v>800</v>
      </c>
    </row>
    <row r="72" customFormat="false" ht="15" hidden="false" customHeight="false" outlineLevel="0" collapsed="false">
      <c r="A72" s="13" t="s">
        <v>239</v>
      </c>
      <c r="B72" s="14" t="n">
        <f aca="false">COUNTA(C72:BF72)</f>
        <v>1</v>
      </c>
      <c r="BC72" s="15" t="s">
        <v>800</v>
      </c>
    </row>
    <row r="73" customFormat="false" ht="15" hidden="false" customHeight="false" outlineLevel="0" collapsed="false">
      <c r="A73" s="13" t="s">
        <v>242</v>
      </c>
      <c r="B73" s="14" t="n">
        <f aca="false">COUNTA(C73:BF73)</f>
        <v>1</v>
      </c>
      <c r="T73" s="15" t="s">
        <v>800</v>
      </c>
    </row>
    <row r="74" customFormat="false" ht="15" hidden="false" customHeight="false" outlineLevel="0" collapsed="false">
      <c r="A74" s="13" t="s">
        <v>245</v>
      </c>
      <c r="B74" s="14" t="n">
        <f aca="false">COUNTA(C74:BF74)</f>
        <v>3</v>
      </c>
      <c r="AR74" s="15" t="s">
        <v>802</v>
      </c>
      <c r="AT74" s="15" t="s">
        <v>800</v>
      </c>
      <c r="BB74" s="15" t="s">
        <v>800</v>
      </c>
    </row>
    <row r="75" customFormat="false" ht="15" hidden="false" customHeight="false" outlineLevel="0" collapsed="false">
      <c r="A75" s="13" t="s">
        <v>250</v>
      </c>
      <c r="B75" s="14" t="n">
        <f aca="false">COUNTA(C75:BF75)</f>
        <v>1</v>
      </c>
      <c r="C75" s="15" t="s">
        <v>800</v>
      </c>
    </row>
    <row r="76" customFormat="false" ht="15" hidden="false" customHeight="false" outlineLevel="0" collapsed="false">
      <c r="A76" s="13" t="s">
        <v>253</v>
      </c>
      <c r="B76" s="14" t="n">
        <f aca="false">COUNTA(C76:BF76)</f>
        <v>1</v>
      </c>
      <c r="E76" s="15" t="s">
        <v>800</v>
      </c>
    </row>
    <row r="77" customFormat="false" ht="15" hidden="false" customHeight="false" outlineLevel="0" collapsed="false">
      <c r="A77" s="13" t="s">
        <v>255</v>
      </c>
      <c r="B77" s="14" t="n">
        <f aca="false">COUNTA(C77:BF77)</f>
        <v>6</v>
      </c>
      <c r="F77" s="15" t="s">
        <v>801</v>
      </c>
      <c r="G77" s="15" t="s">
        <v>800</v>
      </c>
      <c r="H77" s="15" t="s">
        <v>802</v>
      </c>
      <c r="V77" s="15" t="s">
        <v>801</v>
      </c>
      <c r="Y77" s="15" t="s">
        <v>801</v>
      </c>
      <c r="AH77" s="15" t="s">
        <v>802</v>
      </c>
    </row>
    <row r="78" customFormat="false" ht="15" hidden="false" customHeight="false" outlineLevel="0" collapsed="false">
      <c r="A78" s="13" t="s">
        <v>259</v>
      </c>
      <c r="B78" s="14" t="n">
        <f aca="false">COUNTA(C78:BF78)</f>
        <v>5</v>
      </c>
      <c r="D78" s="15" t="s">
        <v>802</v>
      </c>
      <c r="F78" s="15" t="s">
        <v>800</v>
      </c>
      <c r="AB78" s="15" t="s">
        <v>801</v>
      </c>
      <c r="AD78" s="15" t="s">
        <v>802</v>
      </c>
      <c r="AG78" s="15" t="s">
        <v>800</v>
      </c>
    </row>
    <row r="79" customFormat="false" ht="15" hidden="false" customHeight="false" outlineLevel="0" collapsed="false">
      <c r="A79" s="13" t="s">
        <v>263</v>
      </c>
      <c r="B79" s="14" t="n">
        <f aca="false">COUNTA(C79:BF79)</f>
        <v>1</v>
      </c>
      <c r="AB79" s="15" t="s">
        <v>800</v>
      </c>
    </row>
    <row r="80" customFormat="false" ht="15" hidden="false" customHeight="false" outlineLevel="0" collapsed="false">
      <c r="A80" s="13" t="s">
        <v>265</v>
      </c>
      <c r="B80" s="14" t="n">
        <f aca="false">COUNTA(C80:BF80)</f>
        <v>3</v>
      </c>
      <c r="AD80" s="15" t="s">
        <v>800</v>
      </c>
      <c r="AE80" s="15" t="s">
        <v>800</v>
      </c>
      <c r="AF80" s="15" t="s">
        <v>800</v>
      </c>
    </row>
    <row r="81" customFormat="false" ht="15" hidden="false" customHeight="false" outlineLevel="0" collapsed="false">
      <c r="A81" s="13" t="s">
        <v>268</v>
      </c>
      <c r="B81" s="14" t="n">
        <f aca="false">COUNTA(C81:BF81)</f>
        <v>2</v>
      </c>
      <c r="AE81" s="15" t="s">
        <v>800</v>
      </c>
      <c r="BB81" s="15" t="s">
        <v>802</v>
      </c>
    </row>
    <row r="82" customFormat="false" ht="15" hidden="false" customHeight="false" outlineLevel="0" collapsed="false">
      <c r="A82" s="13" t="s">
        <v>272</v>
      </c>
      <c r="B82" s="14" t="n">
        <f aca="false">COUNTA(C82:BF82)</f>
        <v>1</v>
      </c>
      <c r="AG82" s="15" t="s">
        <v>800</v>
      </c>
    </row>
    <row r="83" customFormat="false" ht="15" hidden="false" customHeight="false" outlineLevel="0" collapsed="false">
      <c r="A83" s="13" t="s">
        <v>274</v>
      </c>
      <c r="B83" s="14" t="n">
        <f aca="false">COUNTA(C83:BF83)</f>
        <v>1</v>
      </c>
      <c r="AG83" s="15" t="s">
        <v>800</v>
      </c>
    </row>
    <row r="84" customFormat="false" ht="15" hidden="false" customHeight="false" outlineLevel="0" collapsed="false">
      <c r="A84" s="13" t="s">
        <v>276</v>
      </c>
      <c r="B84" s="14" t="n">
        <f aca="false">COUNTA(C84:BF84)</f>
        <v>1</v>
      </c>
      <c r="K84" s="15" t="s">
        <v>800</v>
      </c>
    </row>
    <row r="85" customFormat="false" ht="15" hidden="false" customHeight="false" outlineLevel="0" collapsed="false">
      <c r="A85" s="13" t="s">
        <v>279</v>
      </c>
      <c r="B85" s="14" t="n">
        <f aca="false">COUNTA(C85:BF85)</f>
        <v>2</v>
      </c>
      <c r="L85" s="15" t="s">
        <v>801</v>
      </c>
      <c r="O85" s="15" t="s">
        <v>800</v>
      </c>
    </row>
    <row r="86" customFormat="false" ht="15" hidden="false" customHeight="false" outlineLevel="0" collapsed="false">
      <c r="A86" s="13" t="s">
        <v>283</v>
      </c>
      <c r="B86" s="14" t="n">
        <f aca="false">COUNTA(C86:BF86)</f>
        <v>1</v>
      </c>
      <c r="Q86" s="15" t="s">
        <v>800</v>
      </c>
    </row>
    <row r="87" customFormat="false" ht="15" hidden="false" customHeight="false" outlineLevel="0" collapsed="false">
      <c r="A87" s="13" t="s">
        <v>286</v>
      </c>
      <c r="B87" s="14" t="n">
        <f aca="false">COUNTA(C87:BF87)</f>
        <v>1</v>
      </c>
      <c r="R87" s="15" t="s">
        <v>801</v>
      </c>
    </row>
    <row r="88" customFormat="false" ht="15" hidden="false" customHeight="false" outlineLevel="0" collapsed="false">
      <c r="A88" s="13" t="s">
        <v>289</v>
      </c>
      <c r="B88" s="14" t="n">
        <f aca="false">COUNTA(C88:BF88)</f>
        <v>2</v>
      </c>
      <c r="K88" s="15" t="s">
        <v>800</v>
      </c>
      <c r="BD88" s="15" t="s">
        <v>800</v>
      </c>
    </row>
    <row r="89" customFormat="false" ht="15" hidden="false" customHeight="false" outlineLevel="0" collapsed="false">
      <c r="A89" s="13" t="s">
        <v>292</v>
      </c>
      <c r="B89" s="14" t="n">
        <f aca="false">COUNTA(C89:BF89)</f>
        <v>1</v>
      </c>
      <c r="S89" s="15" t="s">
        <v>800</v>
      </c>
    </row>
    <row r="90" customFormat="false" ht="15" hidden="false" customHeight="false" outlineLevel="0" collapsed="false">
      <c r="A90" s="13" t="s">
        <v>294</v>
      </c>
      <c r="B90" s="14" t="n">
        <f aca="false">COUNTA(C90:BF90)</f>
        <v>1</v>
      </c>
      <c r="S90" s="15" t="s">
        <v>800</v>
      </c>
    </row>
    <row r="91" customFormat="false" ht="15" hidden="false" customHeight="false" outlineLevel="0" collapsed="false">
      <c r="A91" s="13" t="s">
        <v>296</v>
      </c>
      <c r="B91" s="14" t="n">
        <f aca="false">COUNTA(C91:BF91)</f>
        <v>1</v>
      </c>
      <c r="AS91" s="15" t="s">
        <v>800</v>
      </c>
    </row>
    <row r="92" customFormat="false" ht="15" hidden="false" customHeight="false" outlineLevel="0" collapsed="false">
      <c r="A92" s="13" t="s">
        <v>298</v>
      </c>
      <c r="B92" s="14" t="n">
        <f aca="false">COUNTA(C92:BF92)</f>
        <v>1</v>
      </c>
      <c r="AS92" s="15" t="s">
        <v>801</v>
      </c>
    </row>
    <row r="93" customFormat="false" ht="15" hidden="false" customHeight="false" outlineLevel="0" collapsed="false">
      <c r="A93" s="13" t="s">
        <v>301</v>
      </c>
      <c r="B93" s="14" t="n">
        <f aca="false">COUNTA(C93:BF93)</f>
        <v>2</v>
      </c>
      <c r="AH93" s="15" t="s">
        <v>800</v>
      </c>
      <c r="AS93" s="15" t="s">
        <v>800</v>
      </c>
    </row>
    <row r="94" customFormat="false" ht="15" hidden="false" customHeight="false" outlineLevel="0" collapsed="false">
      <c r="A94" s="13" t="s">
        <v>304</v>
      </c>
      <c r="B94" s="14" t="n">
        <f aca="false">COUNTA(C94:BF94)</f>
        <v>1</v>
      </c>
      <c r="AV94" s="15" t="s">
        <v>800</v>
      </c>
    </row>
    <row r="95" customFormat="false" ht="15" hidden="false" customHeight="false" outlineLevel="0" collapsed="false">
      <c r="A95" s="13" t="s">
        <v>307</v>
      </c>
      <c r="B95" s="14" t="n">
        <f aca="false">COUNTA(C95:BF95)</f>
        <v>1</v>
      </c>
      <c r="AP95" s="15" t="s">
        <v>800</v>
      </c>
    </row>
    <row r="96" customFormat="false" ht="15" hidden="false" customHeight="false" outlineLevel="0" collapsed="false">
      <c r="A96" s="13" t="s">
        <v>310</v>
      </c>
      <c r="B96" s="14" t="n">
        <f aca="false">COUNTA(C96:BF96)</f>
        <v>1</v>
      </c>
      <c r="AX96" s="15" t="s">
        <v>801</v>
      </c>
    </row>
    <row r="97" customFormat="false" ht="15" hidden="false" customHeight="false" outlineLevel="0" collapsed="false">
      <c r="A97" s="13" t="s">
        <v>314</v>
      </c>
      <c r="B97" s="14" t="n">
        <f aca="false">COUNTA(C97:BF97)</f>
        <v>2</v>
      </c>
      <c r="AZ97" s="15" t="s">
        <v>800</v>
      </c>
      <c r="BA97" s="15" t="s">
        <v>800</v>
      </c>
    </row>
    <row r="98" customFormat="false" ht="15" hidden="false" customHeight="false" outlineLevel="0" collapsed="false">
      <c r="A98" s="13" t="s">
        <v>803</v>
      </c>
      <c r="C98" s="16" t="n">
        <f aca="false">COUNTA(C2:C97)</f>
        <v>2</v>
      </c>
      <c r="D98" s="16" t="n">
        <f aca="false">COUNTA(D2:D97)</f>
        <v>1</v>
      </c>
      <c r="E98" s="16" t="n">
        <f aca="false">COUNTA(E2:E97)</f>
        <v>3</v>
      </c>
      <c r="F98" s="16" t="n">
        <f aca="false">COUNTA(F2:F97)</f>
        <v>4</v>
      </c>
      <c r="G98" s="16" t="n">
        <f aca="false">COUNTA(G2:G97)</f>
        <v>4</v>
      </c>
      <c r="H98" s="16" t="n">
        <f aca="false">COUNTA(H2:H97)</f>
        <v>5</v>
      </c>
      <c r="I98" s="16" t="n">
        <f aca="false">COUNTA(I2:I97)</f>
        <v>2</v>
      </c>
      <c r="J98" s="16" t="n">
        <f aca="false">COUNTA(J2:J97)</f>
        <v>3</v>
      </c>
      <c r="K98" s="16" t="n">
        <f aca="false">COUNTA(K2:K97)</f>
        <v>3</v>
      </c>
      <c r="L98" s="16" t="n">
        <f aca="false">COUNTA(L2:L97)</f>
        <v>1</v>
      </c>
      <c r="M98" s="16" t="n">
        <f aca="false">COUNTA(M2:M97)</f>
        <v>2</v>
      </c>
      <c r="N98" s="16" t="n">
        <f aca="false">COUNTA(N2:N97)</f>
        <v>2</v>
      </c>
      <c r="O98" s="16" t="n">
        <f aca="false">COUNTA(O2:O97)</f>
        <v>3</v>
      </c>
      <c r="P98" s="16" t="n">
        <f aca="false">COUNTA(P2:P97)</f>
        <v>1</v>
      </c>
      <c r="Q98" s="16" t="n">
        <f aca="false">COUNTA(Q2:Q97)</f>
        <v>1</v>
      </c>
      <c r="R98" s="16" t="n">
        <f aca="false">COUNTA(R2:R97)</f>
        <v>3</v>
      </c>
      <c r="S98" s="16" t="n">
        <f aca="false">COUNTA(S2:S97)</f>
        <v>4</v>
      </c>
      <c r="T98" s="16" t="n">
        <f aca="false">COUNTA(T2:T97)</f>
        <v>2</v>
      </c>
      <c r="U98" s="16" t="n">
        <f aca="false">COUNTA(U2:U97)</f>
        <v>2</v>
      </c>
      <c r="V98" s="16" t="n">
        <f aca="false">COUNTA(V2:V97)</f>
        <v>4</v>
      </c>
      <c r="W98" s="16" t="n">
        <f aca="false">COUNTA(W2:W97)</f>
        <v>4</v>
      </c>
      <c r="X98" s="16" t="n">
        <f aca="false">COUNTA(X2:X97)</f>
        <v>1</v>
      </c>
      <c r="Y98" s="16" t="n">
        <f aca="false">COUNTA(Y2:Y97)</f>
        <v>2</v>
      </c>
      <c r="Z98" s="16" t="n">
        <f aca="false">COUNTA(Z2:Z97)</f>
        <v>2</v>
      </c>
      <c r="AA98" s="16" t="n">
        <f aca="false">COUNTA(AA2:AA97)</f>
        <v>2</v>
      </c>
      <c r="AB98" s="16" t="n">
        <f aca="false">COUNTA(AB2:AB97)</f>
        <v>6</v>
      </c>
      <c r="AC98" s="16" t="n">
        <f aca="false">COUNTA(AC2:AC97)</f>
        <v>1</v>
      </c>
      <c r="AD98" s="16" t="n">
        <f aca="false">COUNTA(AD2:AD97)</f>
        <v>8</v>
      </c>
      <c r="AE98" s="16" t="n">
        <f aca="false">COUNTA(AE2:AE97)</f>
        <v>3</v>
      </c>
      <c r="AF98" s="16" t="n">
        <f aca="false">COUNTA(AF2:AF97)</f>
        <v>3</v>
      </c>
      <c r="AG98" s="16" t="n">
        <f aca="false">COUNTA(AG2:AG97)</f>
        <v>6</v>
      </c>
      <c r="AH98" s="16" t="n">
        <f aca="false">COUNTA(AH2:AH97)</f>
        <v>7</v>
      </c>
      <c r="AI98" s="16" t="n">
        <f aca="false">COUNTA(AI2:AI97)</f>
        <v>2</v>
      </c>
      <c r="AJ98" s="16" t="n">
        <f aca="false">COUNTA(AJ2:AJ97)</f>
        <v>3</v>
      </c>
      <c r="AK98" s="16" t="n">
        <f aca="false">COUNTA(AK2:AK97)</f>
        <v>3</v>
      </c>
      <c r="AL98" s="16" t="n">
        <f aca="false">COUNTA(AL2:AL97)</f>
        <v>2</v>
      </c>
      <c r="AM98" s="16" t="n">
        <f aca="false">COUNTA(AM2:AM97)</f>
        <v>1</v>
      </c>
      <c r="AN98" s="16" t="n">
        <f aca="false">COUNTA(AN2:AN97)</f>
        <v>3</v>
      </c>
      <c r="AO98" s="16" t="n">
        <f aca="false">COUNTA(AO2:AO97)</f>
        <v>3</v>
      </c>
      <c r="AP98" s="16" t="n">
        <f aca="false">COUNTA(AP2:AP97)</f>
        <v>2</v>
      </c>
      <c r="AQ98" s="16" t="n">
        <f aca="false">COUNTA(AQ2:AQ97)</f>
        <v>2</v>
      </c>
      <c r="AR98" s="16" t="n">
        <f aca="false">COUNTA(AR2:AR97)</f>
        <v>5</v>
      </c>
      <c r="AS98" s="16" t="n">
        <f aca="false">COUNTA(AS2:AS97)</f>
        <v>6</v>
      </c>
      <c r="AT98" s="16" t="n">
        <f aca="false">COUNTA(AT2:AT97)</f>
        <v>1</v>
      </c>
      <c r="AU98" s="16" t="n">
        <f aca="false">COUNTA(AU2:AU97)</f>
        <v>3</v>
      </c>
      <c r="AV98" s="16" t="n">
        <f aca="false">COUNTA(AV2:AV97)</f>
        <v>1</v>
      </c>
      <c r="AW98" s="16" t="n">
        <f aca="false">COUNTA(AW2:AW97)</f>
        <v>3</v>
      </c>
      <c r="AX98" s="16" t="n">
        <f aca="false">COUNTA(AX2:AX97)</f>
        <v>1</v>
      </c>
      <c r="AY98" s="16" t="n">
        <f aca="false">COUNTA(AY2:AY97)</f>
        <v>1</v>
      </c>
      <c r="AZ98" s="16" t="n">
        <f aca="false">COUNTA(AZ2:AZ97)</f>
        <v>3</v>
      </c>
      <c r="BA98" s="16" t="n">
        <f aca="false">COUNTA(BA2:BA97)</f>
        <v>1</v>
      </c>
      <c r="BB98" s="16" t="n">
        <f aca="false">COUNTA(BB2:BB97)</f>
        <v>2</v>
      </c>
      <c r="BC98" s="16" t="n">
        <f aca="false">COUNTA(BC2:BC97)</f>
        <v>1</v>
      </c>
      <c r="BD98" s="16" t="n">
        <f aca="false">COUNTA(BD2:BD97)</f>
        <v>1</v>
      </c>
      <c r="BE98" s="16" t="n">
        <f aca="false">COUNTA(BE2:BE97)</f>
        <v>1</v>
      </c>
      <c r="BF98" s="16" t="n">
        <f aca="false">COUNTA(BF2:BF97)</f>
        <v>2</v>
      </c>
    </row>
    <row r="100" customFormat="false" ht="15" hidden="false" customHeight="false" outlineLevel="0" collapsed="false">
      <c r="A100" s="17" t="s">
        <v>804</v>
      </c>
    </row>
  </sheetData>
  <conditionalFormatting sqref="C2:BF97">
    <cfRule type="cellIs" priority="2" operator="equal" aboveAverage="0" equalAverage="0" bottom="0" percent="0" rank="0" text="" dxfId="6">
      <formula>"O"</formula>
    </cfRule>
    <cfRule type="cellIs" priority="3" operator="equal" aboveAverage="0" equalAverage="0" bottom="0" percent="0" rank="0" text="" dxfId="7">
      <formula>"V"</formula>
    </cfRule>
    <cfRule type="cellIs" priority="4" operator="equal" aboveAverage="0" equalAverage="0" bottom="0" percent="0" rank="0" text="" dxfId="8">
      <formula>"O+V"</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16"/>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8"/>
    <col collapsed="false" customWidth="true" hidden="false" outlineLevel="0" max="2" min="2" style="0" width="30"/>
    <col collapsed="false" customWidth="true" hidden="false" outlineLevel="0" max="3" min="3" style="0" width="100"/>
    <col collapsed="false" customWidth="true" hidden="false" outlineLevel="0" max="4" min="4" style="0" width="10"/>
  </cols>
  <sheetData>
    <row r="1" customFormat="false" ht="35.05" hidden="false" customHeight="false" outlineLevel="0" collapsed="false">
      <c r="A1" s="3" t="s">
        <v>317</v>
      </c>
      <c r="B1" s="3" t="s">
        <v>318</v>
      </c>
      <c r="C1" s="3" t="s">
        <v>805</v>
      </c>
      <c r="D1" s="3" t="s">
        <v>321</v>
      </c>
    </row>
    <row r="2" customFormat="false" ht="15" hidden="false" customHeight="false" outlineLevel="0" collapsed="false">
      <c r="A2" s="10" t="s">
        <v>484</v>
      </c>
      <c r="B2" s="10" t="s">
        <v>485</v>
      </c>
      <c r="C2" s="10" t="s">
        <v>806</v>
      </c>
      <c r="D2" s="10" t="n">
        <v>1</v>
      </c>
    </row>
    <row r="3" customFormat="false" ht="23.85" hidden="false" customHeight="false" outlineLevel="0" collapsed="false">
      <c r="A3" s="10" t="s">
        <v>147</v>
      </c>
      <c r="B3" s="10" t="s">
        <v>367</v>
      </c>
      <c r="C3" s="10" t="s">
        <v>807</v>
      </c>
      <c r="D3" s="10" t="n">
        <v>1</v>
      </c>
    </row>
    <row r="4" customFormat="false" ht="23.85" hidden="false" customHeight="false" outlineLevel="0" collapsed="false">
      <c r="A4" s="10" t="s">
        <v>323</v>
      </c>
      <c r="B4" s="10" t="s">
        <v>324</v>
      </c>
      <c r="C4" s="10" t="s">
        <v>808</v>
      </c>
      <c r="D4" s="10" t="n">
        <v>2</v>
      </c>
    </row>
    <row r="5" customFormat="false" ht="15" hidden="false" customHeight="false" outlineLevel="0" collapsed="false">
      <c r="A5" s="10" t="s">
        <v>95</v>
      </c>
      <c r="B5" s="10" t="s">
        <v>384</v>
      </c>
      <c r="C5" s="10" t="s">
        <v>809</v>
      </c>
      <c r="D5" s="10" t="n">
        <v>1</v>
      </c>
    </row>
    <row r="6" customFormat="false" ht="23.85" hidden="false" customHeight="false" outlineLevel="0" collapsed="false">
      <c r="A6" s="10" t="s">
        <v>810</v>
      </c>
      <c r="B6" s="10" t="s">
        <v>811</v>
      </c>
      <c r="C6" s="10" t="s">
        <v>812</v>
      </c>
      <c r="D6" s="10" t="n">
        <v>5</v>
      </c>
    </row>
    <row r="7" customFormat="false" ht="23.85" hidden="false" customHeight="false" outlineLevel="0" collapsed="false">
      <c r="A7" s="10" t="s">
        <v>810</v>
      </c>
      <c r="B7" s="10" t="s">
        <v>811</v>
      </c>
      <c r="C7" s="10" t="s">
        <v>813</v>
      </c>
      <c r="D7" s="10" t="n">
        <v>1</v>
      </c>
    </row>
    <row r="8" customFormat="false" ht="23.85" hidden="false" customHeight="false" outlineLevel="0" collapsed="false">
      <c r="A8" s="10" t="s">
        <v>810</v>
      </c>
      <c r="B8" s="10" t="s">
        <v>811</v>
      </c>
      <c r="C8" s="10" t="s">
        <v>814</v>
      </c>
      <c r="D8" s="10" t="n">
        <v>1</v>
      </c>
    </row>
    <row r="9" customFormat="false" ht="23.85" hidden="false" customHeight="false" outlineLevel="0" collapsed="false">
      <c r="A9" s="10" t="s">
        <v>810</v>
      </c>
      <c r="B9" s="10" t="s">
        <v>811</v>
      </c>
      <c r="C9" s="10" t="s">
        <v>815</v>
      </c>
      <c r="D9" s="10" t="n">
        <v>2</v>
      </c>
    </row>
    <row r="10" customFormat="false" ht="23.85" hidden="false" customHeight="false" outlineLevel="0" collapsed="false">
      <c r="A10" s="10" t="s">
        <v>810</v>
      </c>
      <c r="B10" s="10" t="s">
        <v>811</v>
      </c>
      <c r="C10" s="10" t="s">
        <v>816</v>
      </c>
      <c r="D10" s="10" t="n">
        <v>2</v>
      </c>
    </row>
    <row r="11" customFormat="false" ht="23.85" hidden="false" customHeight="false" outlineLevel="0" collapsed="false">
      <c r="A11" s="10" t="s">
        <v>810</v>
      </c>
      <c r="B11" s="10" t="s">
        <v>811</v>
      </c>
      <c r="C11" s="10" t="s">
        <v>817</v>
      </c>
      <c r="D11" s="10" t="n">
        <v>1</v>
      </c>
    </row>
    <row r="12" customFormat="false" ht="23.85" hidden="false" customHeight="false" outlineLevel="0" collapsed="false">
      <c r="A12" s="10" t="s">
        <v>810</v>
      </c>
      <c r="B12" s="10" t="s">
        <v>811</v>
      </c>
      <c r="C12" s="10" t="s">
        <v>818</v>
      </c>
      <c r="D12" s="10" t="n">
        <v>1</v>
      </c>
    </row>
    <row r="13" customFormat="false" ht="23.85" hidden="false" customHeight="false" outlineLevel="0" collapsed="false">
      <c r="A13" s="10" t="s">
        <v>810</v>
      </c>
      <c r="B13" s="10" t="s">
        <v>811</v>
      </c>
      <c r="C13" s="10" t="s">
        <v>819</v>
      </c>
      <c r="D13" s="10" t="n">
        <v>1</v>
      </c>
    </row>
    <row r="14" customFormat="false" ht="23.85" hidden="false" customHeight="false" outlineLevel="0" collapsed="false">
      <c r="A14" s="10" t="s">
        <v>820</v>
      </c>
      <c r="B14" s="10" t="s">
        <v>821</v>
      </c>
      <c r="C14" s="10" t="s">
        <v>822</v>
      </c>
      <c r="D14" s="10" t="n">
        <v>1</v>
      </c>
    </row>
    <row r="15" customFormat="false" ht="15" hidden="false" customHeight="false" outlineLevel="0" collapsed="false">
      <c r="A15" s="10" t="s">
        <v>823</v>
      </c>
      <c r="B15" s="10" t="s">
        <v>824</v>
      </c>
      <c r="C15" s="10" t="s">
        <v>825</v>
      </c>
      <c r="D15" s="10" t="n">
        <v>1</v>
      </c>
    </row>
    <row r="16" customFormat="false" ht="15" hidden="false" customHeight="false" outlineLevel="0" collapsed="false">
      <c r="A16" s="10" t="s">
        <v>823</v>
      </c>
      <c r="B16" s="10" t="s">
        <v>824</v>
      </c>
      <c r="C16" s="10" t="s">
        <v>826</v>
      </c>
      <c r="D16" s="10" t="n">
        <v>1</v>
      </c>
    </row>
    <row r="17" customFormat="false" ht="15" hidden="false" customHeight="false" outlineLevel="0" collapsed="false">
      <c r="A17" s="10" t="s">
        <v>823</v>
      </c>
      <c r="B17" s="10" t="s">
        <v>824</v>
      </c>
      <c r="C17" s="10" t="s">
        <v>827</v>
      </c>
      <c r="D17" s="10" t="n">
        <v>1</v>
      </c>
    </row>
    <row r="18" customFormat="false" ht="15" hidden="false" customHeight="false" outlineLevel="0" collapsed="false">
      <c r="A18" s="10" t="s">
        <v>823</v>
      </c>
      <c r="B18" s="10" t="s">
        <v>824</v>
      </c>
      <c r="C18" s="10" t="s">
        <v>828</v>
      </c>
      <c r="D18" s="10" t="n">
        <v>1</v>
      </c>
    </row>
    <row r="19" customFormat="false" ht="23.85" hidden="false" customHeight="false" outlineLevel="0" collapsed="false">
      <c r="A19" s="10" t="s">
        <v>823</v>
      </c>
      <c r="B19" s="10" t="s">
        <v>824</v>
      </c>
      <c r="C19" s="10" t="s">
        <v>829</v>
      </c>
      <c r="D19" s="10" t="n">
        <v>1</v>
      </c>
    </row>
    <row r="20" customFormat="false" ht="15" hidden="false" customHeight="false" outlineLevel="0" collapsed="false">
      <c r="A20" s="10" t="s">
        <v>823</v>
      </c>
      <c r="B20" s="10" t="s">
        <v>824</v>
      </c>
      <c r="C20" s="10" t="s">
        <v>830</v>
      </c>
      <c r="D20" s="10" t="n">
        <v>1</v>
      </c>
    </row>
    <row r="21" customFormat="false" ht="15" hidden="false" customHeight="false" outlineLevel="0" collapsed="false">
      <c r="A21" s="10" t="s">
        <v>823</v>
      </c>
      <c r="B21" s="10" t="s">
        <v>824</v>
      </c>
      <c r="C21" s="10" t="s">
        <v>831</v>
      </c>
      <c r="D21" s="10" t="n">
        <v>1</v>
      </c>
    </row>
    <row r="22" customFormat="false" ht="15" hidden="false" customHeight="false" outlineLevel="0" collapsed="false">
      <c r="A22" s="10" t="s">
        <v>823</v>
      </c>
      <c r="B22" s="10" t="s">
        <v>824</v>
      </c>
      <c r="C22" s="10" t="s">
        <v>832</v>
      </c>
      <c r="D22" s="10" t="n">
        <v>1</v>
      </c>
    </row>
    <row r="23" customFormat="false" ht="15" hidden="false" customHeight="false" outlineLevel="0" collapsed="false">
      <c r="A23" s="10" t="s">
        <v>823</v>
      </c>
      <c r="B23" s="10" t="s">
        <v>824</v>
      </c>
      <c r="C23" s="10" t="s">
        <v>833</v>
      </c>
      <c r="D23" s="10" t="n">
        <v>1</v>
      </c>
    </row>
    <row r="24" customFormat="false" ht="15" hidden="false" customHeight="false" outlineLevel="0" collapsed="false">
      <c r="A24" s="10" t="s">
        <v>823</v>
      </c>
      <c r="B24" s="10" t="s">
        <v>824</v>
      </c>
      <c r="C24" s="10" t="s">
        <v>834</v>
      </c>
      <c r="D24" s="10" t="n">
        <v>1</v>
      </c>
    </row>
    <row r="25" customFormat="false" ht="15" hidden="false" customHeight="false" outlineLevel="0" collapsed="false">
      <c r="A25" s="10" t="s">
        <v>823</v>
      </c>
      <c r="B25" s="10" t="s">
        <v>824</v>
      </c>
      <c r="C25" s="10" t="s">
        <v>835</v>
      </c>
      <c r="D25" s="10" t="n">
        <v>1</v>
      </c>
    </row>
    <row r="26" customFormat="false" ht="15" hidden="false" customHeight="false" outlineLevel="0" collapsed="false">
      <c r="A26" s="10" t="s">
        <v>823</v>
      </c>
      <c r="B26" s="10" t="s">
        <v>824</v>
      </c>
      <c r="C26" s="10" t="s">
        <v>836</v>
      </c>
      <c r="D26" s="10" t="n">
        <v>2</v>
      </c>
    </row>
    <row r="27" customFormat="false" ht="15" hidden="false" customHeight="false" outlineLevel="0" collapsed="false">
      <c r="A27" s="10" t="s">
        <v>823</v>
      </c>
      <c r="B27" s="10" t="s">
        <v>824</v>
      </c>
      <c r="C27" s="10" t="s">
        <v>837</v>
      </c>
      <c r="D27" s="10" t="n">
        <v>1</v>
      </c>
    </row>
    <row r="28" customFormat="false" ht="23.85" hidden="false" customHeight="false" outlineLevel="0" collapsed="false">
      <c r="A28" s="10" t="s">
        <v>823</v>
      </c>
      <c r="B28" s="10" t="s">
        <v>824</v>
      </c>
      <c r="C28" s="10" t="s">
        <v>838</v>
      </c>
      <c r="D28" s="10" t="n">
        <v>1</v>
      </c>
    </row>
    <row r="29" customFormat="false" ht="23.85" hidden="false" customHeight="false" outlineLevel="0" collapsed="false">
      <c r="A29" s="10" t="s">
        <v>823</v>
      </c>
      <c r="B29" s="10" t="s">
        <v>824</v>
      </c>
      <c r="C29" s="10" t="s">
        <v>839</v>
      </c>
      <c r="D29" s="10" t="n">
        <v>1</v>
      </c>
    </row>
    <row r="30" customFormat="false" ht="15" hidden="false" customHeight="false" outlineLevel="0" collapsed="false">
      <c r="A30" s="10" t="s">
        <v>823</v>
      </c>
      <c r="B30" s="10" t="s">
        <v>824</v>
      </c>
      <c r="C30" s="10" t="s">
        <v>840</v>
      </c>
      <c r="D30" s="10" t="n">
        <v>1</v>
      </c>
    </row>
    <row r="31" customFormat="false" ht="15" hidden="false" customHeight="false" outlineLevel="0" collapsed="false">
      <c r="A31" s="10" t="s">
        <v>823</v>
      </c>
      <c r="B31" s="10" t="s">
        <v>824</v>
      </c>
      <c r="C31" s="10" t="s">
        <v>841</v>
      </c>
      <c r="D31" s="10" t="n">
        <v>5</v>
      </c>
    </row>
    <row r="32" customFormat="false" ht="15" hidden="false" customHeight="false" outlineLevel="0" collapsed="false">
      <c r="A32" s="10" t="s">
        <v>823</v>
      </c>
      <c r="B32" s="10" t="s">
        <v>824</v>
      </c>
      <c r="C32" s="10" t="s">
        <v>842</v>
      </c>
      <c r="D32" s="10" t="n">
        <v>1</v>
      </c>
    </row>
    <row r="33" customFormat="false" ht="15" hidden="false" customHeight="false" outlineLevel="0" collapsed="false">
      <c r="A33" s="10" t="s">
        <v>56</v>
      </c>
      <c r="B33" s="10" t="s">
        <v>557</v>
      </c>
      <c r="C33" s="10" t="s">
        <v>843</v>
      </c>
      <c r="D33" s="10" t="n">
        <v>2</v>
      </c>
    </row>
    <row r="34" customFormat="false" ht="15" hidden="false" customHeight="false" outlineLevel="0" collapsed="false">
      <c r="A34" s="10" t="s">
        <v>56</v>
      </c>
      <c r="B34" s="10" t="s">
        <v>557</v>
      </c>
      <c r="C34" s="10" t="s">
        <v>844</v>
      </c>
      <c r="D34" s="10" t="n">
        <v>1</v>
      </c>
    </row>
    <row r="35" customFormat="false" ht="23.85" hidden="false" customHeight="false" outlineLevel="0" collapsed="false">
      <c r="A35" s="10" t="s">
        <v>56</v>
      </c>
      <c r="B35" s="10" t="s">
        <v>557</v>
      </c>
      <c r="C35" s="10" t="s">
        <v>845</v>
      </c>
      <c r="D35" s="10" t="n">
        <v>2</v>
      </c>
    </row>
    <row r="36" customFormat="false" ht="23.85" hidden="false" customHeight="false" outlineLevel="0" collapsed="false">
      <c r="A36" s="10" t="s">
        <v>56</v>
      </c>
      <c r="B36" s="10" t="s">
        <v>557</v>
      </c>
      <c r="C36" s="10" t="s">
        <v>846</v>
      </c>
      <c r="D36" s="10" t="n">
        <v>2</v>
      </c>
    </row>
    <row r="37" customFormat="false" ht="23.85" hidden="false" customHeight="false" outlineLevel="0" collapsed="false">
      <c r="A37" s="10" t="s">
        <v>56</v>
      </c>
      <c r="B37" s="10" t="s">
        <v>557</v>
      </c>
      <c r="C37" s="10" t="s">
        <v>847</v>
      </c>
      <c r="D37" s="10" t="n">
        <v>1</v>
      </c>
    </row>
    <row r="38" customFormat="false" ht="23.85" hidden="false" customHeight="false" outlineLevel="0" collapsed="false">
      <c r="A38" s="10" t="s">
        <v>56</v>
      </c>
      <c r="B38" s="10" t="s">
        <v>557</v>
      </c>
      <c r="C38" s="10" t="s">
        <v>848</v>
      </c>
      <c r="D38" s="10" t="n">
        <v>1</v>
      </c>
    </row>
    <row r="39" customFormat="false" ht="35.05" hidden="false" customHeight="false" outlineLevel="0" collapsed="false">
      <c r="A39" s="10" t="s">
        <v>56</v>
      </c>
      <c r="B39" s="10" t="s">
        <v>557</v>
      </c>
      <c r="C39" s="10" t="s">
        <v>849</v>
      </c>
      <c r="D39" s="10" t="n">
        <v>1</v>
      </c>
    </row>
    <row r="40" customFormat="false" ht="23.85" hidden="false" customHeight="false" outlineLevel="0" collapsed="false">
      <c r="A40" s="10" t="s">
        <v>56</v>
      </c>
      <c r="B40" s="10" t="s">
        <v>557</v>
      </c>
      <c r="C40" s="10" t="s">
        <v>850</v>
      </c>
      <c r="D40" s="10" t="n">
        <v>1</v>
      </c>
    </row>
    <row r="41" customFormat="false" ht="23.85" hidden="false" customHeight="false" outlineLevel="0" collapsed="false">
      <c r="A41" s="10" t="s">
        <v>56</v>
      </c>
      <c r="B41" s="10" t="s">
        <v>557</v>
      </c>
      <c r="C41" s="10" t="s">
        <v>851</v>
      </c>
      <c r="D41" s="10" t="n">
        <v>1</v>
      </c>
    </row>
    <row r="42" customFormat="false" ht="23.85" hidden="false" customHeight="false" outlineLevel="0" collapsed="false">
      <c r="A42" s="10" t="s">
        <v>56</v>
      </c>
      <c r="B42" s="10" t="s">
        <v>557</v>
      </c>
      <c r="C42" s="10" t="s">
        <v>852</v>
      </c>
      <c r="D42" s="10" t="n">
        <v>2</v>
      </c>
    </row>
    <row r="43" customFormat="false" ht="23.85" hidden="false" customHeight="false" outlineLevel="0" collapsed="false">
      <c r="A43" s="10" t="s">
        <v>56</v>
      </c>
      <c r="B43" s="10" t="s">
        <v>557</v>
      </c>
      <c r="C43" s="10" t="s">
        <v>853</v>
      </c>
      <c r="D43" s="10" t="n">
        <v>1</v>
      </c>
    </row>
    <row r="44" customFormat="false" ht="15" hidden="false" customHeight="false" outlineLevel="0" collapsed="false">
      <c r="A44" s="10" t="s">
        <v>56</v>
      </c>
      <c r="B44" s="10" t="s">
        <v>557</v>
      </c>
      <c r="C44" s="10" t="s">
        <v>854</v>
      </c>
      <c r="D44" s="10" t="n">
        <v>2</v>
      </c>
    </row>
    <row r="45" customFormat="false" ht="23.85" hidden="false" customHeight="false" outlineLevel="0" collapsed="false">
      <c r="A45" s="10" t="s">
        <v>56</v>
      </c>
      <c r="B45" s="10" t="s">
        <v>557</v>
      </c>
      <c r="C45" s="10" t="s">
        <v>855</v>
      </c>
      <c r="D45" s="10" t="n">
        <v>2</v>
      </c>
    </row>
    <row r="46" customFormat="false" ht="15" hidden="false" customHeight="false" outlineLevel="0" collapsed="false">
      <c r="A46" s="10" t="s">
        <v>56</v>
      </c>
      <c r="B46" s="10" t="s">
        <v>557</v>
      </c>
      <c r="C46" s="10" t="s">
        <v>856</v>
      </c>
      <c r="D46" s="10" t="n">
        <v>2</v>
      </c>
    </row>
    <row r="47" customFormat="false" ht="15" hidden="false" customHeight="false" outlineLevel="0" collapsed="false">
      <c r="A47" s="10" t="s">
        <v>56</v>
      </c>
      <c r="B47" s="10" t="s">
        <v>557</v>
      </c>
      <c r="C47" s="10" t="s">
        <v>857</v>
      </c>
      <c r="D47" s="10" t="n">
        <v>11</v>
      </c>
    </row>
    <row r="48" customFormat="false" ht="15" hidden="false" customHeight="false" outlineLevel="0" collapsed="false">
      <c r="A48" s="10" t="s">
        <v>56</v>
      </c>
      <c r="B48" s="10" t="s">
        <v>557</v>
      </c>
      <c r="C48" s="10" t="s">
        <v>858</v>
      </c>
      <c r="D48" s="10" t="n">
        <v>2</v>
      </c>
    </row>
    <row r="49" customFormat="false" ht="23.85" hidden="false" customHeight="false" outlineLevel="0" collapsed="false">
      <c r="A49" s="10" t="s">
        <v>56</v>
      </c>
      <c r="B49" s="10" t="s">
        <v>557</v>
      </c>
      <c r="C49" s="10" t="s">
        <v>859</v>
      </c>
      <c r="D49" s="10" t="n">
        <v>1</v>
      </c>
    </row>
    <row r="50" customFormat="false" ht="23.85" hidden="false" customHeight="false" outlineLevel="0" collapsed="false">
      <c r="A50" s="10" t="s">
        <v>56</v>
      </c>
      <c r="B50" s="10" t="s">
        <v>557</v>
      </c>
      <c r="C50" s="10" t="s">
        <v>860</v>
      </c>
      <c r="D50" s="10" t="n">
        <v>2</v>
      </c>
    </row>
    <row r="51" customFormat="false" ht="15" hidden="false" customHeight="false" outlineLevel="0" collapsed="false">
      <c r="A51" s="10" t="s">
        <v>56</v>
      </c>
      <c r="B51" s="10" t="s">
        <v>557</v>
      </c>
      <c r="C51" s="10" t="s">
        <v>861</v>
      </c>
      <c r="D51" s="10" t="n">
        <v>6</v>
      </c>
    </row>
    <row r="52" customFormat="false" ht="23.85" hidden="false" customHeight="false" outlineLevel="0" collapsed="false">
      <c r="A52" s="10" t="s">
        <v>56</v>
      </c>
      <c r="B52" s="10" t="s">
        <v>557</v>
      </c>
      <c r="C52" s="10" t="s">
        <v>862</v>
      </c>
      <c r="D52" s="10" t="n">
        <v>1</v>
      </c>
    </row>
    <row r="53" customFormat="false" ht="23.85" hidden="false" customHeight="false" outlineLevel="0" collapsed="false">
      <c r="A53" s="10" t="s">
        <v>56</v>
      </c>
      <c r="B53" s="10" t="s">
        <v>557</v>
      </c>
      <c r="C53" s="10" t="s">
        <v>863</v>
      </c>
      <c r="D53" s="10" t="n">
        <v>1</v>
      </c>
    </row>
    <row r="54" customFormat="false" ht="15" hidden="false" customHeight="false" outlineLevel="0" collapsed="false">
      <c r="A54" s="10" t="s">
        <v>56</v>
      </c>
      <c r="B54" s="10" t="s">
        <v>557</v>
      </c>
      <c r="C54" s="10" t="s">
        <v>864</v>
      </c>
      <c r="D54" s="10" t="n">
        <v>3</v>
      </c>
    </row>
    <row r="55" customFormat="false" ht="15" hidden="false" customHeight="false" outlineLevel="0" collapsed="false">
      <c r="A55" s="10" t="s">
        <v>56</v>
      </c>
      <c r="B55" s="10" t="s">
        <v>557</v>
      </c>
      <c r="C55" s="10" t="s">
        <v>865</v>
      </c>
      <c r="D55" s="10" t="n">
        <v>2</v>
      </c>
    </row>
    <row r="56" customFormat="false" ht="15" hidden="false" customHeight="false" outlineLevel="0" collapsed="false">
      <c r="A56" s="10" t="s">
        <v>56</v>
      </c>
      <c r="B56" s="10" t="s">
        <v>557</v>
      </c>
      <c r="C56" s="10" t="s">
        <v>866</v>
      </c>
      <c r="D56" s="10" t="n">
        <v>1</v>
      </c>
    </row>
    <row r="57" customFormat="false" ht="15" hidden="false" customHeight="false" outlineLevel="0" collapsed="false">
      <c r="A57" s="10" t="s">
        <v>56</v>
      </c>
      <c r="B57" s="10" t="s">
        <v>557</v>
      </c>
      <c r="C57" s="10" t="s">
        <v>867</v>
      </c>
      <c r="D57" s="10" t="n">
        <v>3</v>
      </c>
    </row>
    <row r="58" customFormat="false" ht="23.85" hidden="false" customHeight="false" outlineLevel="0" collapsed="false">
      <c r="A58" s="10" t="s">
        <v>56</v>
      </c>
      <c r="B58" s="10" t="s">
        <v>557</v>
      </c>
      <c r="C58" s="10" t="s">
        <v>868</v>
      </c>
      <c r="D58" s="10" t="n">
        <v>1</v>
      </c>
    </row>
    <row r="59" customFormat="false" ht="23.85" hidden="false" customHeight="false" outlineLevel="0" collapsed="false">
      <c r="A59" s="10" t="s">
        <v>869</v>
      </c>
      <c r="B59" s="10" t="s">
        <v>870</v>
      </c>
      <c r="C59" s="10" t="s">
        <v>871</v>
      </c>
      <c r="D59" s="10" t="n">
        <v>1</v>
      </c>
    </row>
    <row r="60" customFormat="false" ht="23.85" hidden="false" customHeight="false" outlineLevel="0" collapsed="false">
      <c r="A60" s="10" t="s">
        <v>869</v>
      </c>
      <c r="B60" s="10" t="s">
        <v>870</v>
      </c>
      <c r="C60" s="10" t="s">
        <v>872</v>
      </c>
      <c r="D60" s="10" t="n">
        <v>1</v>
      </c>
    </row>
    <row r="61" customFormat="false" ht="15" hidden="false" customHeight="false" outlineLevel="0" collapsed="false">
      <c r="A61" s="10" t="s">
        <v>278</v>
      </c>
      <c r="B61" s="10" t="s">
        <v>343</v>
      </c>
      <c r="C61" s="10" t="s">
        <v>873</v>
      </c>
      <c r="D61" s="10" t="n">
        <v>3</v>
      </c>
    </row>
    <row r="62" customFormat="false" ht="15" hidden="false" customHeight="false" outlineLevel="0" collapsed="false">
      <c r="A62" s="10" t="s">
        <v>278</v>
      </c>
      <c r="B62" s="10" t="s">
        <v>343</v>
      </c>
      <c r="C62" s="10" t="s">
        <v>874</v>
      </c>
      <c r="D62" s="10" t="n">
        <v>1</v>
      </c>
    </row>
    <row r="63" customFormat="false" ht="23.85" hidden="false" customHeight="false" outlineLevel="0" collapsed="false">
      <c r="A63" s="10" t="s">
        <v>278</v>
      </c>
      <c r="B63" s="10" t="s">
        <v>343</v>
      </c>
      <c r="C63" s="10" t="s">
        <v>875</v>
      </c>
      <c r="D63" s="10" t="n">
        <v>1</v>
      </c>
    </row>
    <row r="64" customFormat="false" ht="15" hidden="false" customHeight="false" outlineLevel="0" collapsed="false">
      <c r="A64" s="10" t="s">
        <v>278</v>
      </c>
      <c r="B64" s="10" t="s">
        <v>343</v>
      </c>
      <c r="C64" s="10" t="s">
        <v>876</v>
      </c>
      <c r="D64" s="10" t="n">
        <v>1</v>
      </c>
    </row>
    <row r="65" customFormat="false" ht="15" hidden="false" customHeight="false" outlineLevel="0" collapsed="false">
      <c r="A65" s="10" t="s">
        <v>278</v>
      </c>
      <c r="B65" s="10" t="s">
        <v>343</v>
      </c>
      <c r="C65" s="10" t="s">
        <v>877</v>
      </c>
      <c r="D65" s="10" t="n">
        <v>1</v>
      </c>
    </row>
    <row r="66" customFormat="false" ht="15" hidden="false" customHeight="false" outlineLevel="0" collapsed="false">
      <c r="A66" s="10" t="s">
        <v>278</v>
      </c>
      <c r="B66" s="10" t="s">
        <v>343</v>
      </c>
      <c r="C66" s="10" t="s">
        <v>878</v>
      </c>
      <c r="D66" s="10" t="n">
        <v>1</v>
      </c>
    </row>
    <row r="67" customFormat="false" ht="15" hidden="false" customHeight="false" outlineLevel="0" collapsed="false">
      <c r="A67" s="10" t="s">
        <v>35</v>
      </c>
      <c r="B67" s="10" t="s">
        <v>333</v>
      </c>
      <c r="C67" s="10" t="s">
        <v>879</v>
      </c>
      <c r="D67" s="10" t="n">
        <v>4</v>
      </c>
    </row>
    <row r="68" customFormat="false" ht="15" hidden="false" customHeight="false" outlineLevel="0" collapsed="false">
      <c r="A68" s="10" t="s">
        <v>62</v>
      </c>
      <c r="B68" s="10" t="s">
        <v>352</v>
      </c>
      <c r="C68" s="10" t="s">
        <v>880</v>
      </c>
      <c r="D68" s="10" t="n">
        <v>1</v>
      </c>
    </row>
    <row r="69" customFormat="false" ht="15" hidden="false" customHeight="false" outlineLevel="0" collapsed="false">
      <c r="A69" s="10" t="s">
        <v>62</v>
      </c>
      <c r="B69" s="10" t="s">
        <v>352</v>
      </c>
      <c r="C69" s="10" t="s">
        <v>881</v>
      </c>
      <c r="D69" s="10" t="n">
        <v>1</v>
      </c>
    </row>
    <row r="70" customFormat="false" ht="15" hidden="false" customHeight="false" outlineLevel="0" collapsed="false">
      <c r="A70" s="10" t="s">
        <v>345</v>
      </c>
      <c r="B70" s="10" t="s">
        <v>346</v>
      </c>
      <c r="C70" s="10" t="s">
        <v>882</v>
      </c>
      <c r="D70" s="10" t="n">
        <v>2</v>
      </c>
    </row>
    <row r="71" customFormat="false" ht="15" hidden="false" customHeight="false" outlineLevel="0" collapsed="false">
      <c r="A71" s="10" t="s">
        <v>345</v>
      </c>
      <c r="B71" s="10" t="s">
        <v>346</v>
      </c>
      <c r="C71" s="10" t="s">
        <v>883</v>
      </c>
      <c r="D71" s="10" t="n">
        <v>1</v>
      </c>
    </row>
    <row r="72" customFormat="false" ht="23.85" hidden="false" customHeight="false" outlineLevel="0" collapsed="false">
      <c r="A72" s="10" t="s">
        <v>345</v>
      </c>
      <c r="B72" s="10" t="s">
        <v>346</v>
      </c>
      <c r="C72" s="10" t="s">
        <v>884</v>
      </c>
      <c r="D72" s="10" t="n">
        <v>1</v>
      </c>
    </row>
    <row r="73" customFormat="false" ht="15" hidden="false" customHeight="false" outlineLevel="0" collapsed="false">
      <c r="A73" s="10" t="s">
        <v>285</v>
      </c>
      <c r="B73" s="10" t="s">
        <v>763</v>
      </c>
      <c r="C73" s="10" t="s">
        <v>885</v>
      </c>
      <c r="D73" s="10" t="n">
        <v>1</v>
      </c>
    </row>
    <row r="74" customFormat="false" ht="15" hidden="false" customHeight="false" outlineLevel="0" collapsed="false">
      <c r="A74" s="10" t="s">
        <v>285</v>
      </c>
      <c r="B74" s="10" t="s">
        <v>763</v>
      </c>
      <c r="C74" s="10" t="s">
        <v>886</v>
      </c>
      <c r="D74" s="10" t="n">
        <v>1</v>
      </c>
    </row>
    <row r="75" customFormat="false" ht="23.85" hidden="false" customHeight="false" outlineLevel="0" collapsed="false">
      <c r="A75" s="10" t="s">
        <v>285</v>
      </c>
      <c r="B75" s="10" t="s">
        <v>763</v>
      </c>
      <c r="C75" s="10" t="s">
        <v>887</v>
      </c>
      <c r="D75" s="10" t="n">
        <v>1</v>
      </c>
    </row>
    <row r="76" customFormat="false" ht="23.85" hidden="false" customHeight="false" outlineLevel="0" collapsed="false">
      <c r="A76" s="10" t="s">
        <v>285</v>
      </c>
      <c r="B76" s="10" t="s">
        <v>763</v>
      </c>
      <c r="C76" s="10" t="s">
        <v>888</v>
      </c>
      <c r="D76" s="10" t="n">
        <v>1</v>
      </c>
    </row>
    <row r="77" customFormat="false" ht="23.85" hidden="false" customHeight="false" outlineLevel="0" collapsed="false">
      <c r="A77" s="10" t="s">
        <v>285</v>
      </c>
      <c r="B77" s="10" t="s">
        <v>763</v>
      </c>
      <c r="C77" s="10" t="s">
        <v>889</v>
      </c>
      <c r="D77" s="10" t="n">
        <v>1</v>
      </c>
    </row>
    <row r="78" customFormat="false" ht="23.85" hidden="false" customHeight="false" outlineLevel="0" collapsed="false">
      <c r="A78" s="10" t="s">
        <v>285</v>
      </c>
      <c r="B78" s="10" t="s">
        <v>763</v>
      </c>
      <c r="C78" s="10" t="s">
        <v>890</v>
      </c>
      <c r="D78" s="10" t="n">
        <v>1</v>
      </c>
    </row>
    <row r="79" customFormat="false" ht="23.85" hidden="false" customHeight="false" outlineLevel="0" collapsed="false">
      <c r="A79" s="10" t="s">
        <v>285</v>
      </c>
      <c r="B79" s="10" t="s">
        <v>763</v>
      </c>
      <c r="C79" s="10" t="s">
        <v>891</v>
      </c>
      <c r="D79" s="10" t="n">
        <v>1</v>
      </c>
    </row>
    <row r="80" customFormat="false" ht="23.85" hidden="false" customHeight="false" outlineLevel="0" collapsed="false">
      <c r="A80" s="10" t="s">
        <v>285</v>
      </c>
      <c r="B80" s="10" t="s">
        <v>763</v>
      </c>
      <c r="C80" s="10" t="s">
        <v>892</v>
      </c>
      <c r="D80" s="10" t="n">
        <v>1</v>
      </c>
    </row>
    <row r="81" customFormat="false" ht="15" hidden="false" customHeight="false" outlineLevel="0" collapsed="false">
      <c r="A81" s="10" t="s">
        <v>285</v>
      </c>
      <c r="B81" s="10" t="s">
        <v>763</v>
      </c>
      <c r="C81" s="10" t="s">
        <v>893</v>
      </c>
      <c r="D81" s="10" t="n">
        <v>7</v>
      </c>
    </row>
    <row r="82" customFormat="false" ht="15" hidden="false" customHeight="false" outlineLevel="0" collapsed="false">
      <c r="A82" s="10" t="s">
        <v>73</v>
      </c>
      <c r="B82" s="10" t="s">
        <v>379</v>
      </c>
      <c r="C82" s="10" t="s">
        <v>894</v>
      </c>
      <c r="D82" s="10" t="n">
        <v>1</v>
      </c>
    </row>
    <row r="83" customFormat="false" ht="15" hidden="false" customHeight="false" outlineLevel="0" collapsed="false">
      <c r="A83" s="10" t="s">
        <v>73</v>
      </c>
      <c r="B83" s="10" t="s">
        <v>379</v>
      </c>
      <c r="C83" s="10" t="s">
        <v>895</v>
      </c>
      <c r="D83" s="10" t="n">
        <v>1</v>
      </c>
    </row>
    <row r="84" customFormat="false" ht="15" hidden="false" customHeight="false" outlineLevel="0" collapsed="false">
      <c r="A84" s="10" t="s">
        <v>73</v>
      </c>
      <c r="B84" s="10" t="s">
        <v>379</v>
      </c>
      <c r="C84" s="10" t="s">
        <v>896</v>
      </c>
      <c r="D84" s="10" t="n">
        <v>1</v>
      </c>
    </row>
    <row r="85" customFormat="false" ht="15" hidden="false" customHeight="false" outlineLevel="0" collapsed="false">
      <c r="A85" s="10" t="s">
        <v>897</v>
      </c>
      <c r="B85" s="10" t="s">
        <v>898</v>
      </c>
      <c r="C85" s="10" t="s">
        <v>899</v>
      </c>
      <c r="D85" s="10" t="n">
        <v>1</v>
      </c>
    </row>
    <row r="86" customFormat="false" ht="15" hidden="false" customHeight="false" outlineLevel="0" collapsed="false">
      <c r="A86" s="10" t="s">
        <v>897</v>
      </c>
      <c r="B86" s="10" t="s">
        <v>898</v>
      </c>
      <c r="C86" s="10" t="s">
        <v>900</v>
      </c>
      <c r="D86" s="10" t="n">
        <v>1</v>
      </c>
    </row>
    <row r="87" customFormat="false" ht="23.85" hidden="false" customHeight="false" outlineLevel="0" collapsed="false">
      <c r="A87" s="10" t="s">
        <v>897</v>
      </c>
      <c r="B87" s="10" t="s">
        <v>898</v>
      </c>
      <c r="C87" s="10" t="s">
        <v>901</v>
      </c>
      <c r="D87" s="10" t="n">
        <v>1</v>
      </c>
    </row>
    <row r="88" customFormat="false" ht="23.85" hidden="false" customHeight="false" outlineLevel="0" collapsed="false">
      <c r="A88" s="10" t="s">
        <v>897</v>
      </c>
      <c r="B88" s="10" t="s">
        <v>898</v>
      </c>
      <c r="C88" s="10" t="s">
        <v>902</v>
      </c>
      <c r="D88" s="10" t="n">
        <v>1</v>
      </c>
    </row>
    <row r="89" customFormat="false" ht="23.85" hidden="false" customHeight="false" outlineLevel="0" collapsed="false">
      <c r="A89" s="10" t="s">
        <v>897</v>
      </c>
      <c r="B89" s="10" t="s">
        <v>898</v>
      </c>
      <c r="C89" s="10" t="s">
        <v>903</v>
      </c>
      <c r="D89" s="10" t="n">
        <v>1</v>
      </c>
    </row>
    <row r="90" customFormat="false" ht="15" hidden="false" customHeight="false" outlineLevel="0" collapsed="false">
      <c r="A90" s="10" t="s">
        <v>897</v>
      </c>
      <c r="B90" s="10" t="s">
        <v>898</v>
      </c>
      <c r="C90" s="10" t="s">
        <v>904</v>
      </c>
      <c r="D90" s="10" t="n">
        <v>1</v>
      </c>
    </row>
    <row r="91" customFormat="false" ht="23.85" hidden="false" customHeight="false" outlineLevel="0" collapsed="false">
      <c r="A91" s="10" t="s">
        <v>897</v>
      </c>
      <c r="B91" s="10" t="s">
        <v>898</v>
      </c>
      <c r="C91" s="10" t="s">
        <v>905</v>
      </c>
      <c r="D91" s="10" t="n">
        <v>1</v>
      </c>
    </row>
    <row r="92" customFormat="false" ht="23.85" hidden="false" customHeight="false" outlineLevel="0" collapsed="false">
      <c r="A92" s="10" t="s">
        <v>897</v>
      </c>
      <c r="B92" s="10" t="s">
        <v>898</v>
      </c>
      <c r="C92" s="10" t="s">
        <v>906</v>
      </c>
      <c r="D92" s="10" t="n">
        <v>1</v>
      </c>
    </row>
    <row r="93" customFormat="false" ht="15" hidden="false" customHeight="false" outlineLevel="0" collapsed="false">
      <c r="A93" s="10" t="s">
        <v>897</v>
      </c>
      <c r="B93" s="10" t="s">
        <v>898</v>
      </c>
      <c r="C93" s="10" t="s">
        <v>907</v>
      </c>
      <c r="D93" s="10" t="n">
        <v>1</v>
      </c>
    </row>
    <row r="94" customFormat="false" ht="23.85" hidden="false" customHeight="false" outlineLevel="0" collapsed="false">
      <c r="A94" s="10" t="s">
        <v>18</v>
      </c>
      <c r="B94" s="10" t="s">
        <v>328</v>
      </c>
      <c r="C94" s="10" t="s">
        <v>908</v>
      </c>
      <c r="D94" s="10" t="n">
        <v>2</v>
      </c>
    </row>
    <row r="95" customFormat="false" ht="23.85" hidden="false" customHeight="false" outlineLevel="0" collapsed="false">
      <c r="A95" s="10" t="s">
        <v>386</v>
      </c>
      <c r="B95" s="10" t="s">
        <v>387</v>
      </c>
      <c r="C95" s="10" t="s">
        <v>909</v>
      </c>
      <c r="D95" s="10" t="n">
        <v>1</v>
      </c>
    </row>
    <row r="96" customFormat="false" ht="23.85" hidden="false" customHeight="false" outlineLevel="0" collapsed="false">
      <c r="A96" s="10" t="s">
        <v>14</v>
      </c>
      <c r="B96" s="10" t="s">
        <v>395</v>
      </c>
      <c r="C96" s="10" t="s">
        <v>910</v>
      </c>
      <c r="D96" s="10" t="n">
        <v>1</v>
      </c>
    </row>
    <row r="97" customFormat="false" ht="23.85" hidden="false" customHeight="false" outlineLevel="0" collapsed="false">
      <c r="A97" s="10" t="s">
        <v>14</v>
      </c>
      <c r="B97" s="10" t="s">
        <v>395</v>
      </c>
      <c r="C97" s="10" t="s">
        <v>911</v>
      </c>
      <c r="D97" s="10" t="n">
        <v>1</v>
      </c>
    </row>
    <row r="98" customFormat="false" ht="23.85" hidden="false" customHeight="false" outlineLevel="0" collapsed="false">
      <c r="A98" s="10" t="s">
        <v>14</v>
      </c>
      <c r="B98" s="10" t="s">
        <v>395</v>
      </c>
      <c r="C98" s="10" t="s">
        <v>912</v>
      </c>
      <c r="D98" s="10" t="n">
        <v>1</v>
      </c>
    </row>
    <row r="99" customFormat="false" ht="23.85" hidden="false" customHeight="false" outlineLevel="0" collapsed="false">
      <c r="A99" s="10" t="s">
        <v>14</v>
      </c>
      <c r="B99" s="10" t="s">
        <v>395</v>
      </c>
      <c r="C99" s="10" t="s">
        <v>913</v>
      </c>
      <c r="D99" s="10" t="n">
        <v>1</v>
      </c>
    </row>
    <row r="100" customFormat="false" ht="23.85" hidden="false" customHeight="false" outlineLevel="0" collapsed="false">
      <c r="A100" s="10" t="s">
        <v>14</v>
      </c>
      <c r="B100" s="10" t="s">
        <v>395</v>
      </c>
      <c r="C100" s="10" t="s">
        <v>914</v>
      </c>
      <c r="D100" s="10" t="n">
        <v>1</v>
      </c>
    </row>
    <row r="101" customFormat="false" ht="23.85" hidden="false" customHeight="false" outlineLevel="0" collapsed="false">
      <c r="A101" s="10" t="s">
        <v>14</v>
      </c>
      <c r="B101" s="10" t="s">
        <v>395</v>
      </c>
      <c r="C101" s="10" t="s">
        <v>915</v>
      </c>
      <c r="D101" s="10" t="n">
        <v>1</v>
      </c>
    </row>
    <row r="102" customFormat="false" ht="23.85" hidden="false" customHeight="false" outlineLevel="0" collapsed="false">
      <c r="A102" s="10" t="s">
        <v>14</v>
      </c>
      <c r="B102" s="10" t="s">
        <v>395</v>
      </c>
      <c r="C102" s="10" t="s">
        <v>916</v>
      </c>
      <c r="D102" s="10" t="n">
        <v>1</v>
      </c>
    </row>
    <row r="103" customFormat="false" ht="23.85" hidden="false" customHeight="false" outlineLevel="0" collapsed="false">
      <c r="A103" s="10" t="s">
        <v>14</v>
      </c>
      <c r="B103" s="10" t="s">
        <v>395</v>
      </c>
      <c r="C103" s="10" t="s">
        <v>917</v>
      </c>
      <c r="D103" s="10" t="n">
        <v>1</v>
      </c>
    </row>
    <row r="104" customFormat="false" ht="23.85" hidden="false" customHeight="false" outlineLevel="0" collapsed="false">
      <c r="A104" s="10" t="s">
        <v>14</v>
      </c>
      <c r="B104" s="10" t="s">
        <v>395</v>
      </c>
      <c r="C104" s="10" t="s">
        <v>918</v>
      </c>
      <c r="D104" s="10" t="n">
        <v>1</v>
      </c>
    </row>
    <row r="105" customFormat="false" ht="23.85" hidden="false" customHeight="false" outlineLevel="0" collapsed="false">
      <c r="A105" s="10" t="s">
        <v>14</v>
      </c>
      <c r="B105" s="10" t="s">
        <v>395</v>
      </c>
      <c r="C105" s="10" t="s">
        <v>919</v>
      </c>
      <c r="D105" s="10" t="n">
        <v>1</v>
      </c>
    </row>
    <row r="106" customFormat="false" ht="23.85" hidden="false" customHeight="false" outlineLevel="0" collapsed="false">
      <c r="A106" s="10" t="s">
        <v>14</v>
      </c>
      <c r="B106" s="10" t="s">
        <v>395</v>
      </c>
      <c r="C106" s="10" t="s">
        <v>920</v>
      </c>
      <c r="D106" s="10" t="n">
        <v>1</v>
      </c>
    </row>
    <row r="107" customFormat="false" ht="23.85" hidden="false" customHeight="false" outlineLevel="0" collapsed="false">
      <c r="A107" s="10" t="s">
        <v>14</v>
      </c>
      <c r="B107" s="10" t="s">
        <v>395</v>
      </c>
      <c r="C107" s="10" t="s">
        <v>921</v>
      </c>
      <c r="D107" s="10" t="n">
        <v>1</v>
      </c>
    </row>
    <row r="108" customFormat="false" ht="23.85" hidden="false" customHeight="false" outlineLevel="0" collapsed="false">
      <c r="A108" s="10" t="s">
        <v>14</v>
      </c>
      <c r="B108" s="10" t="s">
        <v>395</v>
      </c>
      <c r="C108" s="10" t="s">
        <v>922</v>
      </c>
      <c r="D108" s="10" t="n">
        <v>2</v>
      </c>
    </row>
    <row r="109" customFormat="false" ht="23.85" hidden="false" customHeight="false" outlineLevel="0" collapsed="false">
      <c r="A109" s="10" t="s">
        <v>14</v>
      </c>
      <c r="B109" s="10" t="s">
        <v>395</v>
      </c>
      <c r="C109" s="10" t="s">
        <v>923</v>
      </c>
      <c r="D109" s="10" t="n">
        <v>1</v>
      </c>
    </row>
    <row r="110" customFormat="false" ht="23.85" hidden="false" customHeight="false" outlineLevel="0" collapsed="false">
      <c r="A110" s="10" t="s">
        <v>924</v>
      </c>
      <c r="B110" s="10" t="s">
        <v>925</v>
      </c>
      <c r="C110" s="10" t="s">
        <v>926</v>
      </c>
      <c r="D110" s="10" t="n">
        <v>1</v>
      </c>
    </row>
    <row r="111" customFormat="false" ht="23.85" hidden="false" customHeight="false" outlineLevel="0" collapsed="false">
      <c r="A111" s="10" t="s">
        <v>924</v>
      </c>
      <c r="B111" s="10" t="s">
        <v>925</v>
      </c>
      <c r="C111" s="10" t="s">
        <v>927</v>
      </c>
      <c r="D111" s="10" t="n">
        <v>1</v>
      </c>
    </row>
    <row r="112" customFormat="false" ht="23.85" hidden="false" customHeight="false" outlineLevel="0" collapsed="false">
      <c r="A112" s="10" t="s">
        <v>924</v>
      </c>
      <c r="B112" s="10" t="s">
        <v>925</v>
      </c>
      <c r="C112" s="10" t="s">
        <v>928</v>
      </c>
      <c r="D112" s="10" t="n">
        <v>1</v>
      </c>
    </row>
    <row r="113" customFormat="false" ht="23.85" hidden="false" customHeight="false" outlineLevel="0" collapsed="false">
      <c r="A113" s="10" t="s">
        <v>924</v>
      </c>
      <c r="B113" s="10" t="s">
        <v>925</v>
      </c>
      <c r="C113" s="10" t="s">
        <v>929</v>
      </c>
      <c r="D113" s="10" t="n">
        <v>1</v>
      </c>
    </row>
    <row r="114" customFormat="false" ht="23.85" hidden="false" customHeight="false" outlineLevel="0" collapsed="false">
      <c r="A114" s="10" t="s">
        <v>924</v>
      </c>
      <c r="B114" s="10" t="s">
        <v>925</v>
      </c>
      <c r="C114" s="10" t="s">
        <v>930</v>
      </c>
      <c r="D114" s="10" t="n">
        <v>1</v>
      </c>
    </row>
    <row r="115" customFormat="false" ht="23.85" hidden="false" customHeight="false" outlineLevel="0" collapsed="false">
      <c r="A115" s="10" t="s">
        <v>924</v>
      </c>
      <c r="B115" s="10" t="s">
        <v>925</v>
      </c>
      <c r="C115" s="10" t="s">
        <v>931</v>
      </c>
      <c r="D115" s="10" t="n">
        <v>1</v>
      </c>
    </row>
    <row r="116" customFormat="false" ht="23.85" hidden="false" customHeight="false" outlineLevel="0" collapsed="false">
      <c r="A116" s="10" t="s">
        <v>924</v>
      </c>
      <c r="B116" s="10" t="s">
        <v>925</v>
      </c>
      <c r="C116" s="10" t="s">
        <v>932</v>
      </c>
      <c r="D116" s="10" t="n">
        <v>1</v>
      </c>
    </row>
    <row r="117" customFormat="false" ht="23.85" hidden="false" customHeight="false" outlineLevel="0" collapsed="false">
      <c r="A117" s="10" t="s">
        <v>924</v>
      </c>
      <c r="B117" s="10" t="s">
        <v>925</v>
      </c>
      <c r="C117" s="10" t="s">
        <v>933</v>
      </c>
      <c r="D117" s="10" t="n">
        <v>1</v>
      </c>
    </row>
    <row r="118" customFormat="false" ht="23.85" hidden="false" customHeight="false" outlineLevel="0" collapsed="false">
      <c r="A118" s="10" t="s">
        <v>924</v>
      </c>
      <c r="B118" s="10" t="s">
        <v>925</v>
      </c>
      <c r="C118" s="10" t="s">
        <v>934</v>
      </c>
      <c r="D118" s="10" t="n">
        <v>1</v>
      </c>
    </row>
    <row r="119" customFormat="false" ht="23.85" hidden="false" customHeight="false" outlineLevel="0" collapsed="false">
      <c r="A119" s="10" t="s">
        <v>201</v>
      </c>
      <c r="B119" s="10" t="s">
        <v>448</v>
      </c>
      <c r="C119" s="10" t="s">
        <v>935</v>
      </c>
      <c r="D119" s="10" t="n">
        <v>1</v>
      </c>
    </row>
    <row r="120" customFormat="false" ht="23.85" hidden="false" customHeight="false" outlineLevel="0" collapsed="false">
      <c r="A120" s="10" t="s">
        <v>106</v>
      </c>
      <c r="B120" s="10" t="s">
        <v>397</v>
      </c>
      <c r="C120" s="10" t="s">
        <v>936</v>
      </c>
      <c r="D120" s="10" t="n">
        <v>2</v>
      </c>
    </row>
    <row r="121" customFormat="false" ht="23.85" hidden="false" customHeight="false" outlineLevel="0" collapsed="false">
      <c r="A121" s="10" t="s">
        <v>118</v>
      </c>
      <c r="B121" s="10" t="s">
        <v>419</v>
      </c>
      <c r="C121" s="10" t="s">
        <v>937</v>
      </c>
      <c r="D121" s="10" t="n">
        <v>1</v>
      </c>
    </row>
    <row r="122" customFormat="false" ht="15" hidden="false" customHeight="false" outlineLevel="0" collapsed="false">
      <c r="A122" s="10" t="s">
        <v>118</v>
      </c>
      <c r="B122" s="10" t="s">
        <v>419</v>
      </c>
      <c r="C122" s="10" t="s">
        <v>938</v>
      </c>
      <c r="D122" s="10" t="n">
        <v>1</v>
      </c>
    </row>
    <row r="123" customFormat="false" ht="15" hidden="false" customHeight="false" outlineLevel="0" collapsed="false">
      <c r="A123" s="10" t="s">
        <v>939</v>
      </c>
      <c r="B123" s="10" t="s">
        <v>940</v>
      </c>
      <c r="C123" s="10" t="s">
        <v>941</v>
      </c>
      <c r="D123" s="10" t="n">
        <v>1</v>
      </c>
    </row>
    <row r="124" customFormat="false" ht="15" hidden="false" customHeight="false" outlineLevel="0" collapsed="false">
      <c r="A124" s="10" t="s">
        <v>939</v>
      </c>
      <c r="B124" s="10" t="s">
        <v>940</v>
      </c>
      <c r="C124" s="10" t="s">
        <v>942</v>
      </c>
      <c r="D124" s="10" t="n">
        <v>1</v>
      </c>
    </row>
    <row r="125" customFormat="false" ht="23.85" hidden="false" customHeight="false" outlineLevel="0" collapsed="false">
      <c r="A125" s="10" t="s">
        <v>939</v>
      </c>
      <c r="B125" s="10" t="s">
        <v>940</v>
      </c>
      <c r="C125" s="10" t="s">
        <v>943</v>
      </c>
      <c r="D125" s="10" t="n">
        <v>1</v>
      </c>
    </row>
    <row r="126" customFormat="false" ht="23.85" hidden="false" customHeight="false" outlineLevel="0" collapsed="false">
      <c r="A126" s="10" t="s">
        <v>939</v>
      </c>
      <c r="B126" s="10" t="s">
        <v>940</v>
      </c>
      <c r="C126" s="10" t="s">
        <v>944</v>
      </c>
      <c r="D126" s="10" t="n">
        <v>1</v>
      </c>
    </row>
    <row r="127" customFormat="false" ht="23.85" hidden="false" customHeight="false" outlineLevel="0" collapsed="false">
      <c r="A127" s="10" t="s">
        <v>939</v>
      </c>
      <c r="B127" s="10" t="s">
        <v>940</v>
      </c>
      <c r="C127" s="10" t="s">
        <v>945</v>
      </c>
      <c r="D127" s="10" t="n">
        <v>1</v>
      </c>
    </row>
    <row r="128" customFormat="false" ht="15" hidden="false" customHeight="false" outlineLevel="0" collapsed="false">
      <c r="A128" s="10" t="s">
        <v>389</v>
      </c>
      <c r="B128" s="10" t="s">
        <v>390</v>
      </c>
      <c r="C128" s="10" t="s">
        <v>946</v>
      </c>
      <c r="D128" s="10" t="n">
        <v>1</v>
      </c>
    </row>
    <row r="129" customFormat="false" ht="23.85" hidden="false" customHeight="false" outlineLevel="0" collapsed="false">
      <c r="A129" s="10" t="s">
        <v>389</v>
      </c>
      <c r="B129" s="10" t="s">
        <v>390</v>
      </c>
      <c r="C129" s="10" t="s">
        <v>947</v>
      </c>
      <c r="D129" s="10" t="n">
        <v>1</v>
      </c>
    </row>
    <row r="130" customFormat="false" ht="23.85" hidden="false" customHeight="false" outlineLevel="0" collapsed="false">
      <c r="A130" s="10" t="s">
        <v>389</v>
      </c>
      <c r="B130" s="10" t="s">
        <v>390</v>
      </c>
      <c r="C130" s="10" t="s">
        <v>948</v>
      </c>
      <c r="D130" s="10" t="n">
        <v>1</v>
      </c>
    </row>
    <row r="131" customFormat="false" ht="23.85" hidden="false" customHeight="false" outlineLevel="0" collapsed="false">
      <c r="A131" s="10" t="s">
        <v>362</v>
      </c>
      <c r="B131" s="10" t="s">
        <v>363</v>
      </c>
      <c r="C131" s="10" t="s">
        <v>949</v>
      </c>
      <c r="D131" s="10" t="n">
        <v>1</v>
      </c>
    </row>
    <row r="132" customFormat="false" ht="23.85" hidden="false" customHeight="false" outlineLevel="0" collapsed="false">
      <c r="A132" s="10" t="s">
        <v>362</v>
      </c>
      <c r="B132" s="10" t="s">
        <v>363</v>
      </c>
      <c r="C132" s="10" t="s">
        <v>950</v>
      </c>
      <c r="D132" s="10" t="n">
        <v>2</v>
      </c>
    </row>
    <row r="133" customFormat="false" ht="15" hidden="false" customHeight="false" outlineLevel="0" collapsed="false">
      <c r="A133" s="10" t="s">
        <v>86</v>
      </c>
      <c r="B133" s="10" t="s">
        <v>382</v>
      </c>
      <c r="C133" s="10" t="s">
        <v>951</v>
      </c>
      <c r="D133" s="10" t="n">
        <v>1</v>
      </c>
    </row>
    <row r="134" customFormat="false" ht="23.85" hidden="false" customHeight="false" outlineLevel="0" collapsed="false">
      <c r="A134" s="10" t="s">
        <v>86</v>
      </c>
      <c r="B134" s="10" t="s">
        <v>382</v>
      </c>
      <c r="C134" s="10" t="s">
        <v>952</v>
      </c>
      <c r="D134" s="10" t="n">
        <v>1</v>
      </c>
    </row>
    <row r="135" customFormat="false" ht="15" hidden="false" customHeight="false" outlineLevel="0" collapsed="false">
      <c r="A135" s="10" t="s">
        <v>86</v>
      </c>
      <c r="B135" s="10" t="s">
        <v>382</v>
      </c>
      <c r="C135" s="10" t="s">
        <v>953</v>
      </c>
      <c r="D135" s="10" t="n">
        <v>1</v>
      </c>
    </row>
    <row r="136" customFormat="false" ht="23.85" hidden="false" customHeight="false" outlineLevel="0" collapsed="false">
      <c r="A136" s="10" t="s">
        <v>954</v>
      </c>
      <c r="B136" s="10" t="s">
        <v>955</v>
      </c>
      <c r="C136" s="10" t="s">
        <v>956</v>
      </c>
      <c r="D136" s="10" t="n">
        <v>1</v>
      </c>
    </row>
    <row r="137" customFormat="false" ht="23.85" hidden="false" customHeight="false" outlineLevel="0" collapsed="false">
      <c r="A137" s="10" t="s">
        <v>954</v>
      </c>
      <c r="B137" s="10" t="s">
        <v>955</v>
      </c>
      <c r="C137" s="10" t="s">
        <v>957</v>
      </c>
      <c r="D137" s="10" t="n">
        <v>1</v>
      </c>
    </row>
    <row r="138" customFormat="false" ht="23.85" hidden="false" customHeight="false" outlineLevel="0" collapsed="false">
      <c r="A138" s="10" t="s">
        <v>954</v>
      </c>
      <c r="B138" s="10" t="s">
        <v>955</v>
      </c>
      <c r="C138" s="10" t="s">
        <v>958</v>
      </c>
      <c r="D138" s="10" t="n">
        <v>1</v>
      </c>
    </row>
    <row r="139" customFormat="false" ht="23.85" hidden="false" customHeight="false" outlineLevel="0" collapsed="false">
      <c r="A139" s="10" t="s">
        <v>954</v>
      </c>
      <c r="B139" s="10" t="s">
        <v>955</v>
      </c>
      <c r="C139" s="10" t="s">
        <v>959</v>
      </c>
      <c r="D139" s="10" t="n">
        <v>1</v>
      </c>
    </row>
    <row r="140" customFormat="false" ht="23.85" hidden="false" customHeight="false" outlineLevel="0" collapsed="false">
      <c r="A140" s="10" t="s">
        <v>954</v>
      </c>
      <c r="B140" s="10" t="s">
        <v>955</v>
      </c>
      <c r="C140" s="10" t="s">
        <v>960</v>
      </c>
      <c r="D140" s="10" t="n">
        <v>1</v>
      </c>
    </row>
    <row r="141" customFormat="false" ht="23.85" hidden="false" customHeight="false" outlineLevel="0" collapsed="false">
      <c r="A141" s="10" t="s">
        <v>954</v>
      </c>
      <c r="B141" s="10" t="s">
        <v>955</v>
      </c>
      <c r="C141" s="10" t="s">
        <v>961</v>
      </c>
      <c r="D141" s="10" t="n">
        <v>1</v>
      </c>
    </row>
    <row r="142" customFormat="false" ht="23.85" hidden="false" customHeight="false" outlineLevel="0" collapsed="false">
      <c r="A142" s="10" t="s">
        <v>954</v>
      </c>
      <c r="B142" s="10" t="s">
        <v>955</v>
      </c>
      <c r="C142" s="10" t="s">
        <v>962</v>
      </c>
      <c r="D142" s="10" t="n">
        <v>1</v>
      </c>
    </row>
    <row r="143" customFormat="false" ht="23.85" hidden="false" customHeight="false" outlineLevel="0" collapsed="false">
      <c r="A143" s="10" t="s">
        <v>230</v>
      </c>
      <c r="B143" s="10" t="s">
        <v>403</v>
      </c>
      <c r="C143" s="10" t="s">
        <v>963</v>
      </c>
      <c r="D143" s="10" t="n">
        <v>1</v>
      </c>
    </row>
    <row r="144" customFormat="false" ht="23.85" hidden="false" customHeight="false" outlineLevel="0" collapsed="false">
      <c r="A144" s="10" t="s">
        <v>230</v>
      </c>
      <c r="B144" s="10" t="s">
        <v>403</v>
      </c>
      <c r="C144" s="10" t="s">
        <v>964</v>
      </c>
      <c r="D144" s="10" t="n">
        <v>1</v>
      </c>
    </row>
    <row r="145" customFormat="false" ht="23.85" hidden="false" customHeight="false" outlineLevel="0" collapsed="false">
      <c r="A145" s="10" t="s">
        <v>230</v>
      </c>
      <c r="B145" s="10" t="s">
        <v>403</v>
      </c>
      <c r="C145" s="10" t="s">
        <v>965</v>
      </c>
      <c r="D145" s="10" t="n">
        <v>1</v>
      </c>
    </row>
    <row r="146" customFormat="false" ht="23.85" hidden="false" customHeight="false" outlineLevel="0" collapsed="false">
      <c r="A146" s="10" t="s">
        <v>230</v>
      </c>
      <c r="B146" s="10" t="s">
        <v>403</v>
      </c>
      <c r="C146" s="10" t="s">
        <v>966</v>
      </c>
      <c r="D146" s="10" t="n">
        <v>1</v>
      </c>
    </row>
    <row r="147" customFormat="false" ht="23.85" hidden="false" customHeight="false" outlineLevel="0" collapsed="false">
      <c r="A147" s="10" t="s">
        <v>230</v>
      </c>
      <c r="B147" s="10" t="s">
        <v>403</v>
      </c>
      <c r="C147" s="10" t="s">
        <v>967</v>
      </c>
      <c r="D147" s="10" t="n">
        <v>1</v>
      </c>
    </row>
    <row r="148" customFormat="false" ht="23.85" hidden="false" customHeight="false" outlineLevel="0" collapsed="false">
      <c r="A148" s="10" t="s">
        <v>230</v>
      </c>
      <c r="B148" s="10" t="s">
        <v>403</v>
      </c>
      <c r="C148" s="10" t="s">
        <v>968</v>
      </c>
      <c r="D148" s="10" t="n">
        <v>1</v>
      </c>
    </row>
    <row r="149" customFormat="false" ht="23.85" hidden="false" customHeight="false" outlineLevel="0" collapsed="false">
      <c r="A149" s="10" t="s">
        <v>230</v>
      </c>
      <c r="B149" s="10" t="s">
        <v>403</v>
      </c>
      <c r="C149" s="10" t="s">
        <v>969</v>
      </c>
      <c r="D149" s="10" t="n">
        <v>1</v>
      </c>
    </row>
    <row r="150" customFormat="false" ht="23.85" hidden="false" customHeight="false" outlineLevel="0" collapsed="false">
      <c r="A150" s="10" t="s">
        <v>230</v>
      </c>
      <c r="B150" s="10" t="s">
        <v>403</v>
      </c>
      <c r="C150" s="10" t="s">
        <v>970</v>
      </c>
      <c r="D150" s="10" t="n">
        <v>1</v>
      </c>
    </row>
    <row r="151" customFormat="false" ht="23.85" hidden="false" customHeight="false" outlineLevel="0" collapsed="false">
      <c r="A151" s="10" t="s">
        <v>230</v>
      </c>
      <c r="B151" s="10" t="s">
        <v>403</v>
      </c>
      <c r="C151" s="10" t="s">
        <v>971</v>
      </c>
      <c r="D151" s="10" t="n">
        <v>3</v>
      </c>
    </row>
    <row r="152" customFormat="false" ht="23.85" hidden="false" customHeight="false" outlineLevel="0" collapsed="false">
      <c r="A152" s="10" t="s">
        <v>230</v>
      </c>
      <c r="B152" s="10" t="s">
        <v>403</v>
      </c>
      <c r="C152" s="10" t="s">
        <v>972</v>
      </c>
      <c r="D152" s="10" t="n">
        <v>2</v>
      </c>
    </row>
    <row r="153" customFormat="false" ht="23.85" hidden="false" customHeight="false" outlineLevel="0" collapsed="false">
      <c r="A153" s="10" t="s">
        <v>233</v>
      </c>
      <c r="B153" s="10" t="s">
        <v>340</v>
      </c>
      <c r="C153" s="10" t="s">
        <v>973</v>
      </c>
      <c r="D153" s="10" t="n">
        <v>1</v>
      </c>
    </row>
    <row r="154" customFormat="false" ht="23.85" hidden="false" customHeight="false" outlineLevel="0" collapsed="false">
      <c r="A154" s="10" t="s">
        <v>233</v>
      </c>
      <c r="B154" s="10" t="s">
        <v>340</v>
      </c>
      <c r="C154" s="10" t="s">
        <v>974</v>
      </c>
      <c r="D154" s="10" t="n">
        <v>1</v>
      </c>
    </row>
    <row r="155" customFormat="false" ht="23.85" hidden="false" customHeight="false" outlineLevel="0" collapsed="false">
      <c r="A155" s="10" t="s">
        <v>233</v>
      </c>
      <c r="B155" s="10" t="s">
        <v>340</v>
      </c>
      <c r="C155" s="10" t="s">
        <v>975</v>
      </c>
      <c r="D155" s="10" t="n">
        <v>1</v>
      </c>
    </row>
    <row r="156" customFormat="false" ht="23.85" hidden="false" customHeight="false" outlineLevel="0" collapsed="false">
      <c r="A156" s="10" t="s">
        <v>454</v>
      </c>
      <c r="B156" s="10" t="s">
        <v>455</v>
      </c>
      <c r="C156" s="10" t="s">
        <v>976</v>
      </c>
      <c r="D156" s="10" t="n">
        <v>1</v>
      </c>
    </row>
    <row r="157" customFormat="false" ht="23.85" hidden="false" customHeight="false" outlineLevel="0" collapsed="false">
      <c r="A157" s="10" t="s">
        <v>454</v>
      </c>
      <c r="B157" s="10" t="s">
        <v>455</v>
      </c>
      <c r="C157" s="10" t="s">
        <v>977</v>
      </c>
      <c r="D157" s="10" t="n">
        <v>1</v>
      </c>
    </row>
    <row r="158" customFormat="false" ht="23.85" hidden="false" customHeight="false" outlineLevel="0" collapsed="false">
      <c r="A158" s="10" t="s">
        <v>454</v>
      </c>
      <c r="B158" s="10" t="s">
        <v>455</v>
      </c>
      <c r="C158" s="10" t="s">
        <v>978</v>
      </c>
      <c r="D158" s="10" t="n">
        <v>1</v>
      </c>
    </row>
    <row r="159" customFormat="false" ht="23.85" hidden="false" customHeight="false" outlineLevel="0" collapsed="false">
      <c r="A159" s="10" t="s">
        <v>454</v>
      </c>
      <c r="B159" s="10" t="s">
        <v>455</v>
      </c>
      <c r="C159" s="10" t="s">
        <v>979</v>
      </c>
      <c r="D159" s="10" t="n">
        <v>1</v>
      </c>
    </row>
    <row r="160" customFormat="false" ht="23.85" hidden="false" customHeight="false" outlineLevel="0" collapsed="false">
      <c r="A160" s="10" t="s">
        <v>454</v>
      </c>
      <c r="B160" s="10" t="s">
        <v>455</v>
      </c>
      <c r="C160" s="10" t="s">
        <v>980</v>
      </c>
      <c r="D160" s="10" t="n">
        <v>2</v>
      </c>
    </row>
    <row r="161" customFormat="false" ht="23.85" hidden="false" customHeight="false" outlineLevel="0" collapsed="false">
      <c r="A161" s="10" t="s">
        <v>309</v>
      </c>
      <c r="B161" s="10" t="s">
        <v>433</v>
      </c>
      <c r="C161" s="10" t="s">
        <v>981</v>
      </c>
      <c r="D161" s="10" t="n">
        <v>1</v>
      </c>
    </row>
    <row r="162" customFormat="false" ht="23.85" hidden="false" customHeight="false" outlineLevel="0" collapsed="false">
      <c r="A162" s="10" t="s">
        <v>309</v>
      </c>
      <c r="B162" s="10" t="s">
        <v>433</v>
      </c>
      <c r="C162" s="10" t="s">
        <v>982</v>
      </c>
      <c r="D162" s="10" t="n">
        <v>1</v>
      </c>
    </row>
    <row r="163" customFormat="false" ht="23.85" hidden="false" customHeight="false" outlineLevel="0" collapsed="false">
      <c r="A163" s="10" t="s">
        <v>309</v>
      </c>
      <c r="B163" s="10" t="s">
        <v>433</v>
      </c>
      <c r="C163" s="10" t="s">
        <v>983</v>
      </c>
      <c r="D163" s="10" t="n">
        <v>1</v>
      </c>
    </row>
    <row r="164" customFormat="false" ht="15" hidden="false" customHeight="false" outlineLevel="0" collapsed="false">
      <c r="A164" s="10" t="s">
        <v>309</v>
      </c>
      <c r="B164" s="10" t="s">
        <v>433</v>
      </c>
      <c r="C164" s="10" t="s">
        <v>984</v>
      </c>
      <c r="D164" s="10" t="n">
        <v>1</v>
      </c>
    </row>
    <row r="165" customFormat="false" ht="23.85" hidden="false" customHeight="false" outlineLevel="0" collapsed="false">
      <c r="A165" s="10" t="s">
        <v>309</v>
      </c>
      <c r="B165" s="10" t="s">
        <v>433</v>
      </c>
      <c r="C165" s="10" t="s">
        <v>985</v>
      </c>
      <c r="D165" s="10" t="n">
        <v>2</v>
      </c>
    </row>
    <row r="166" customFormat="false" ht="15" hidden="false" customHeight="false" outlineLevel="0" collapsed="false">
      <c r="A166" s="10" t="s">
        <v>309</v>
      </c>
      <c r="B166" s="10" t="s">
        <v>433</v>
      </c>
      <c r="C166" s="10" t="s">
        <v>986</v>
      </c>
      <c r="D166" s="10" t="n">
        <v>1</v>
      </c>
    </row>
    <row r="167" customFormat="false" ht="23.85" hidden="false" customHeight="false" outlineLevel="0" collapsed="false">
      <c r="A167" s="10" t="s">
        <v>309</v>
      </c>
      <c r="B167" s="10" t="s">
        <v>433</v>
      </c>
      <c r="C167" s="10" t="s">
        <v>987</v>
      </c>
      <c r="D167" s="10" t="n">
        <v>1</v>
      </c>
    </row>
    <row r="168" customFormat="false" ht="23.85" hidden="false" customHeight="false" outlineLevel="0" collapsed="false">
      <c r="A168" s="10" t="s">
        <v>309</v>
      </c>
      <c r="B168" s="10" t="s">
        <v>433</v>
      </c>
      <c r="C168" s="10" t="s">
        <v>988</v>
      </c>
      <c r="D168" s="10" t="n">
        <v>1</v>
      </c>
    </row>
    <row r="169" customFormat="false" ht="23.85" hidden="false" customHeight="false" outlineLevel="0" collapsed="false">
      <c r="A169" s="10" t="s">
        <v>309</v>
      </c>
      <c r="B169" s="10" t="s">
        <v>433</v>
      </c>
      <c r="C169" s="10" t="s">
        <v>989</v>
      </c>
      <c r="D169" s="10" t="n">
        <v>2</v>
      </c>
    </row>
    <row r="170" customFormat="false" ht="23.85" hidden="false" customHeight="false" outlineLevel="0" collapsed="false">
      <c r="A170" s="10" t="s">
        <v>309</v>
      </c>
      <c r="B170" s="10" t="s">
        <v>433</v>
      </c>
      <c r="C170" s="10" t="s">
        <v>990</v>
      </c>
      <c r="D170" s="10" t="n">
        <v>1</v>
      </c>
    </row>
    <row r="171" customFormat="false" ht="15" hidden="false" customHeight="false" outlineLevel="0" collapsed="false">
      <c r="A171" s="10" t="s">
        <v>309</v>
      </c>
      <c r="B171" s="10" t="s">
        <v>433</v>
      </c>
      <c r="C171" s="10" t="s">
        <v>991</v>
      </c>
      <c r="D171" s="10" t="n">
        <v>1</v>
      </c>
    </row>
    <row r="172" customFormat="false" ht="23.85" hidden="false" customHeight="false" outlineLevel="0" collapsed="false">
      <c r="A172" s="10" t="s">
        <v>309</v>
      </c>
      <c r="B172" s="10" t="s">
        <v>433</v>
      </c>
      <c r="C172" s="10" t="s">
        <v>992</v>
      </c>
      <c r="D172" s="10" t="n">
        <v>1</v>
      </c>
    </row>
    <row r="173" customFormat="false" ht="23.85" hidden="false" customHeight="false" outlineLevel="0" collapsed="false">
      <c r="A173" s="10" t="s">
        <v>182</v>
      </c>
      <c r="B173" s="10" t="s">
        <v>439</v>
      </c>
      <c r="C173" s="10" t="s">
        <v>993</v>
      </c>
      <c r="D173" s="10" t="n">
        <v>1</v>
      </c>
    </row>
    <row r="174" customFormat="false" ht="15" hidden="false" customHeight="false" outlineLevel="0" collapsed="false">
      <c r="A174" s="10" t="s">
        <v>182</v>
      </c>
      <c r="B174" s="10" t="s">
        <v>439</v>
      </c>
      <c r="C174" s="10" t="s">
        <v>994</v>
      </c>
      <c r="D174" s="10" t="n">
        <v>1</v>
      </c>
    </row>
    <row r="175" customFormat="false" ht="15" hidden="false" customHeight="false" outlineLevel="0" collapsed="false">
      <c r="A175" s="10" t="s">
        <v>995</v>
      </c>
      <c r="B175" s="10" t="s">
        <v>996</v>
      </c>
      <c r="C175" s="10" t="s">
        <v>997</v>
      </c>
      <c r="D175" s="10" t="n">
        <v>1</v>
      </c>
    </row>
    <row r="176" customFormat="false" ht="15" hidden="false" customHeight="false" outlineLevel="0" collapsed="false">
      <c r="A176" s="10" t="s">
        <v>995</v>
      </c>
      <c r="B176" s="10" t="s">
        <v>996</v>
      </c>
      <c r="C176" s="10" t="s">
        <v>998</v>
      </c>
      <c r="D176" s="10" t="n">
        <v>1</v>
      </c>
    </row>
    <row r="177" customFormat="false" ht="15" hidden="false" customHeight="false" outlineLevel="0" collapsed="false">
      <c r="A177" s="10" t="s">
        <v>999</v>
      </c>
      <c r="B177" s="10" t="s">
        <v>1000</v>
      </c>
      <c r="C177" s="10" t="s">
        <v>1001</v>
      </c>
      <c r="D177" s="10" t="n">
        <v>3</v>
      </c>
    </row>
    <row r="178" customFormat="false" ht="23.85" hidden="false" customHeight="false" outlineLevel="0" collapsed="false">
      <c r="A178" s="10" t="s">
        <v>194</v>
      </c>
      <c r="B178" s="10" t="s">
        <v>365</v>
      </c>
      <c r="C178" s="10" t="s">
        <v>1002</v>
      </c>
      <c r="D178" s="10" t="n">
        <v>1</v>
      </c>
    </row>
    <row r="179" customFormat="false" ht="23.85" hidden="false" customHeight="false" outlineLevel="0" collapsed="false">
      <c r="A179" s="10" t="s">
        <v>1003</v>
      </c>
      <c r="B179" s="10" t="s">
        <v>1004</v>
      </c>
      <c r="C179" s="10" t="s">
        <v>1005</v>
      </c>
      <c r="D179" s="10" t="n">
        <v>1</v>
      </c>
    </row>
    <row r="180" customFormat="false" ht="23.85" hidden="false" customHeight="false" outlineLevel="0" collapsed="false">
      <c r="A180" s="10" t="s">
        <v>214</v>
      </c>
      <c r="B180" s="10" t="s">
        <v>457</v>
      </c>
      <c r="C180" s="10" t="s">
        <v>1006</v>
      </c>
      <c r="D180" s="10" t="n">
        <v>3</v>
      </c>
    </row>
    <row r="181" customFormat="false" ht="23.85" hidden="false" customHeight="false" outlineLevel="0" collapsed="false">
      <c r="A181" s="10" t="s">
        <v>214</v>
      </c>
      <c r="B181" s="10" t="s">
        <v>457</v>
      </c>
      <c r="C181" s="10" t="s">
        <v>1007</v>
      </c>
      <c r="D181" s="10" t="n">
        <v>3</v>
      </c>
    </row>
    <row r="182" customFormat="false" ht="23.85" hidden="false" customHeight="false" outlineLevel="0" collapsed="false">
      <c r="A182" s="10" t="s">
        <v>214</v>
      </c>
      <c r="B182" s="10" t="s">
        <v>457</v>
      </c>
      <c r="C182" s="10" t="s">
        <v>1008</v>
      </c>
      <c r="D182" s="10" t="n">
        <v>2</v>
      </c>
    </row>
    <row r="183" customFormat="false" ht="23.85" hidden="false" customHeight="false" outlineLevel="0" collapsed="false">
      <c r="A183" s="10" t="s">
        <v>312</v>
      </c>
      <c r="B183" s="10" t="s">
        <v>791</v>
      </c>
      <c r="C183" s="10" t="s">
        <v>1009</v>
      </c>
      <c r="D183" s="10" t="n">
        <v>1</v>
      </c>
    </row>
    <row r="184" customFormat="false" ht="23.85" hidden="false" customHeight="false" outlineLevel="0" collapsed="false">
      <c r="A184" s="10" t="s">
        <v>312</v>
      </c>
      <c r="B184" s="10" t="s">
        <v>791</v>
      </c>
      <c r="C184" s="10" t="s">
        <v>1010</v>
      </c>
      <c r="D184" s="10" t="n">
        <v>1</v>
      </c>
    </row>
    <row r="185" customFormat="false" ht="23.85" hidden="false" customHeight="false" outlineLevel="0" collapsed="false">
      <c r="A185" s="10" t="s">
        <v>312</v>
      </c>
      <c r="B185" s="10" t="s">
        <v>791</v>
      </c>
      <c r="C185" s="10" t="s">
        <v>1011</v>
      </c>
      <c r="D185" s="10" t="n">
        <v>1</v>
      </c>
    </row>
    <row r="186" customFormat="false" ht="23.85" hidden="false" customHeight="false" outlineLevel="0" collapsed="false">
      <c r="A186" s="10" t="s">
        <v>312</v>
      </c>
      <c r="B186" s="10" t="s">
        <v>791</v>
      </c>
      <c r="C186" s="10" t="s">
        <v>1012</v>
      </c>
      <c r="D186" s="10" t="n">
        <v>2</v>
      </c>
    </row>
    <row r="187" customFormat="false" ht="23.85" hidden="false" customHeight="false" outlineLevel="0" collapsed="false">
      <c r="A187" s="10" t="s">
        <v>312</v>
      </c>
      <c r="B187" s="10" t="s">
        <v>791</v>
      </c>
      <c r="C187" s="10" t="s">
        <v>1013</v>
      </c>
      <c r="D187" s="10" t="n">
        <v>1</v>
      </c>
    </row>
    <row r="188" customFormat="false" ht="23.85" hidden="false" customHeight="false" outlineLevel="0" collapsed="false">
      <c r="A188" s="10" t="s">
        <v>312</v>
      </c>
      <c r="B188" s="10" t="s">
        <v>791</v>
      </c>
      <c r="C188" s="10" t="s">
        <v>1014</v>
      </c>
      <c r="D188" s="10" t="n">
        <v>1</v>
      </c>
    </row>
    <row r="189" customFormat="false" ht="23.85" hidden="false" customHeight="false" outlineLevel="0" collapsed="false">
      <c r="A189" s="10" t="s">
        <v>312</v>
      </c>
      <c r="B189" s="10" t="s">
        <v>791</v>
      </c>
      <c r="C189" s="10" t="s">
        <v>1015</v>
      </c>
      <c r="D189" s="10" t="n">
        <v>1</v>
      </c>
    </row>
    <row r="190" customFormat="false" ht="23.85" hidden="false" customHeight="false" outlineLevel="0" collapsed="false">
      <c r="A190" s="10" t="s">
        <v>223</v>
      </c>
      <c r="B190" s="10" t="s">
        <v>704</v>
      </c>
      <c r="C190" s="10" t="s">
        <v>1016</v>
      </c>
      <c r="D190" s="10" t="n">
        <v>1</v>
      </c>
    </row>
    <row r="191" customFormat="false" ht="23.85" hidden="false" customHeight="false" outlineLevel="0" collapsed="false">
      <c r="A191" s="10" t="s">
        <v>223</v>
      </c>
      <c r="B191" s="10" t="s">
        <v>704</v>
      </c>
      <c r="C191" s="10" t="s">
        <v>1017</v>
      </c>
      <c r="D191" s="10" t="n">
        <v>2</v>
      </c>
    </row>
    <row r="192" customFormat="false" ht="23.85" hidden="false" customHeight="false" outlineLevel="0" collapsed="false">
      <c r="A192" s="10" t="s">
        <v>223</v>
      </c>
      <c r="B192" s="10" t="s">
        <v>704</v>
      </c>
      <c r="C192" s="10" t="s">
        <v>1018</v>
      </c>
      <c r="D192" s="10" t="n">
        <v>1</v>
      </c>
    </row>
    <row r="193" customFormat="false" ht="23.85" hidden="false" customHeight="false" outlineLevel="0" collapsed="false">
      <c r="A193" s="10" t="s">
        <v>223</v>
      </c>
      <c r="B193" s="10" t="s">
        <v>704</v>
      </c>
      <c r="C193" s="10" t="s">
        <v>1019</v>
      </c>
      <c r="D193" s="10" t="n">
        <v>1</v>
      </c>
    </row>
    <row r="194" customFormat="false" ht="23.85" hidden="false" customHeight="false" outlineLevel="0" collapsed="false">
      <c r="A194" s="10" t="s">
        <v>226</v>
      </c>
      <c r="B194" s="10" t="s">
        <v>507</v>
      </c>
      <c r="C194" s="10" t="s">
        <v>1020</v>
      </c>
      <c r="D194" s="10" t="n">
        <v>1</v>
      </c>
    </row>
    <row r="195" customFormat="false" ht="23.85" hidden="false" customHeight="false" outlineLevel="0" collapsed="false">
      <c r="A195" s="10" t="s">
        <v>226</v>
      </c>
      <c r="B195" s="10" t="s">
        <v>507</v>
      </c>
      <c r="C195" s="10" t="s">
        <v>1021</v>
      </c>
      <c r="D195" s="10" t="n">
        <v>1</v>
      </c>
    </row>
    <row r="196" customFormat="false" ht="23.85" hidden="false" customHeight="false" outlineLevel="0" collapsed="false">
      <c r="A196" s="10" t="s">
        <v>226</v>
      </c>
      <c r="B196" s="10" t="s">
        <v>507</v>
      </c>
      <c r="C196" s="10" t="s">
        <v>1022</v>
      </c>
      <c r="D196" s="10" t="n">
        <v>1</v>
      </c>
    </row>
    <row r="197" customFormat="false" ht="35.05" hidden="false" customHeight="false" outlineLevel="0" collapsed="false">
      <c r="A197" s="10" t="s">
        <v>226</v>
      </c>
      <c r="B197" s="10" t="s">
        <v>507</v>
      </c>
      <c r="C197" s="10" t="s">
        <v>1023</v>
      </c>
      <c r="D197" s="10" t="n">
        <v>1</v>
      </c>
    </row>
    <row r="198" customFormat="false" ht="23.85" hidden="false" customHeight="false" outlineLevel="0" collapsed="false">
      <c r="A198" s="10" t="s">
        <v>226</v>
      </c>
      <c r="B198" s="10" t="s">
        <v>507</v>
      </c>
      <c r="C198" s="10" t="s">
        <v>1024</v>
      </c>
      <c r="D198" s="10" t="n">
        <v>1</v>
      </c>
    </row>
    <row r="199" customFormat="false" ht="15" hidden="false" customHeight="false" outlineLevel="0" collapsed="false">
      <c r="A199" s="10" t="s">
        <v>509</v>
      </c>
      <c r="B199" s="10" t="s">
        <v>510</v>
      </c>
      <c r="C199" s="10" t="s">
        <v>1025</v>
      </c>
      <c r="D199" s="10" t="n">
        <v>3</v>
      </c>
    </row>
    <row r="200" customFormat="false" ht="35.05" hidden="false" customHeight="false" outlineLevel="0" collapsed="false">
      <c r="A200" s="10" t="s">
        <v>509</v>
      </c>
      <c r="B200" s="10" t="s">
        <v>510</v>
      </c>
      <c r="C200" s="10" t="s">
        <v>1026</v>
      </c>
      <c r="D200" s="10" t="n">
        <v>1</v>
      </c>
    </row>
    <row r="201" customFormat="false" ht="23.85" hidden="false" customHeight="false" outlineLevel="0" collapsed="false">
      <c r="A201" s="10" t="s">
        <v>1027</v>
      </c>
      <c r="B201" s="10" t="s">
        <v>1028</v>
      </c>
      <c r="C201" s="10" t="s">
        <v>1029</v>
      </c>
      <c r="D201" s="10" t="n">
        <v>1</v>
      </c>
    </row>
    <row r="202" customFormat="false" ht="23.85" hidden="false" customHeight="false" outlineLevel="0" collapsed="false">
      <c r="A202" s="10" t="s">
        <v>462</v>
      </c>
      <c r="B202" s="10" t="s">
        <v>463</v>
      </c>
      <c r="C202" s="10" t="s">
        <v>1030</v>
      </c>
      <c r="D202" s="10" t="n">
        <v>1</v>
      </c>
    </row>
    <row r="203" customFormat="false" ht="23.85" hidden="false" customHeight="false" outlineLevel="0" collapsed="false">
      <c r="A203" s="10" t="s">
        <v>1031</v>
      </c>
      <c r="B203" s="10" t="s">
        <v>1032</v>
      </c>
      <c r="C203" s="10" t="s">
        <v>1033</v>
      </c>
      <c r="D203" s="10" t="n">
        <v>1</v>
      </c>
    </row>
    <row r="204" customFormat="false" ht="46.25" hidden="false" customHeight="false" outlineLevel="0" collapsed="false">
      <c r="A204" s="10" t="s">
        <v>502</v>
      </c>
      <c r="B204" s="10" t="s">
        <v>503</v>
      </c>
      <c r="C204" s="10" t="s">
        <v>1034</v>
      </c>
      <c r="D204" s="10" t="n">
        <v>1</v>
      </c>
    </row>
    <row r="205" customFormat="false" ht="46.25" hidden="false" customHeight="false" outlineLevel="0" collapsed="false">
      <c r="A205" s="10" t="s">
        <v>502</v>
      </c>
      <c r="B205" s="10" t="s">
        <v>503</v>
      </c>
      <c r="C205" s="10" t="s">
        <v>1035</v>
      </c>
      <c r="D205" s="10" t="n">
        <v>1</v>
      </c>
    </row>
    <row r="206" customFormat="false" ht="46.25" hidden="false" customHeight="false" outlineLevel="0" collapsed="false">
      <c r="A206" s="10" t="s">
        <v>502</v>
      </c>
      <c r="B206" s="10" t="s">
        <v>503</v>
      </c>
      <c r="C206" s="10" t="s">
        <v>1036</v>
      </c>
      <c r="D206" s="10" t="n">
        <v>1</v>
      </c>
    </row>
    <row r="207" customFormat="false" ht="46.25" hidden="false" customHeight="false" outlineLevel="0" collapsed="false">
      <c r="A207" s="10" t="s">
        <v>502</v>
      </c>
      <c r="B207" s="10" t="s">
        <v>503</v>
      </c>
      <c r="C207" s="10" t="s">
        <v>1037</v>
      </c>
      <c r="D207" s="10" t="n">
        <v>1</v>
      </c>
    </row>
    <row r="208" customFormat="false" ht="46.25" hidden="false" customHeight="false" outlineLevel="0" collapsed="false">
      <c r="A208" s="10" t="s">
        <v>502</v>
      </c>
      <c r="B208" s="10" t="s">
        <v>503</v>
      </c>
      <c r="C208" s="10" t="s">
        <v>1038</v>
      </c>
      <c r="D208" s="10" t="n">
        <v>1</v>
      </c>
    </row>
    <row r="209" customFormat="false" ht="46.25" hidden="false" customHeight="false" outlineLevel="0" collapsed="false">
      <c r="A209" s="10" t="s">
        <v>502</v>
      </c>
      <c r="B209" s="10" t="s">
        <v>503</v>
      </c>
      <c r="C209" s="10" t="s">
        <v>1039</v>
      </c>
      <c r="D209" s="10" t="n">
        <v>1</v>
      </c>
    </row>
    <row r="210" customFormat="false" ht="46.25" hidden="false" customHeight="false" outlineLevel="0" collapsed="false">
      <c r="A210" s="10" t="s">
        <v>502</v>
      </c>
      <c r="B210" s="10" t="s">
        <v>503</v>
      </c>
      <c r="C210" s="10" t="s">
        <v>1040</v>
      </c>
      <c r="D210" s="10" t="n">
        <v>1</v>
      </c>
    </row>
    <row r="211" customFormat="false" ht="23.85" hidden="false" customHeight="false" outlineLevel="0" collapsed="false">
      <c r="A211" s="10" t="s">
        <v>1041</v>
      </c>
      <c r="B211" s="10" t="s">
        <v>1042</v>
      </c>
      <c r="C211" s="10" t="s">
        <v>1043</v>
      </c>
      <c r="D211" s="10" t="n">
        <v>1</v>
      </c>
    </row>
    <row r="212" customFormat="false" ht="23.85" hidden="false" customHeight="false" outlineLevel="0" collapsed="false">
      <c r="A212" s="10" t="s">
        <v>1041</v>
      </c>
      <c r="B212" s="10" t="s">
        <v>1042</v>
      </c>
      <c r="C212" s="10" t="s">
        <v>1044</v>
      </c>
      <c r="D212" s="10" t="n">
        <v>1</v>
      </c>
    </row>
    <row r="213" customFormat="false" ht="23.85" hidden="false" customHeight="false" outlineLevel="0" collapsed="false">
      <c r="A213" s="10" t="s">
        <v>1041</v>
      </c>
      <c r="B213" s="10" t="s">
        <v>1042</v>
      </c>
      <c r="C213" s="10" t="s">
        <v>1045</v>
      </c>
      <c r="D213" s="10" t="n">
        <v>1</v>
      </c>
    </row>
    <row r="214" customFormat="false" ht="15" hidden="false" customHeight="false" outlineLevel="0" collapsed="false">
      <c r="A214" s="10" t="s">
        <v>1046</v>
      </c>
      <c r="B214" s="10" t="s">
        <v>1047</v>
      </c>
      <c r="C214" s="10" t="s">
        <v>1048</v>
      </c>
      <c r="D214" s="10" t="n">
        <v>1</v>
      </c>
    </row>
    <row r="215" customFormat="false" ht="15" hidden="false" customHeight="false" outlineLevel="0" collapsed="false">
      <c r="A215" s="10" t="s">
        <v>1046</v>
      </c>
      <c r="B215" s="10" t="s">
        <v>1047</v>
      </c>
      <c r="C215" s="10" t="s">
        <v>1049</v>
      </c>
      <c r="D215" s="10" t="n">
        <v>2</v>
      </c>
    </row>
    <row r="216" customFormat="false" ht="35.05" hidden="false" customHeight="false" outlineLevel="0" collapsed="false">
      <c r="A216" s="10" t="s">
        <v>1050</v>
      </c>
      <c r="B216" s="10" t="s">
        <v>1051</v>
      </c>
      <c r="C216" s="10" t="s">
        <v>1052</v>
      </c>
      <c r="D216" s="10" t="n">
        <v>1</v>
      </c>
    </row>
  </sheetData>
  <autoFilter ref="A1:D216"/>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8"/>
    <col collapsed="false" customWidth="true" hidden="false" outlineLevel="0" max="2" min="2" style="0" width="130"/>
  </cols>
  <sheetData>
    <row r="1" customFormat="false" ht="23.85" hidden="false" customHeight="false" outlineLevel="0" collapsed="false">
      <c r="A1" s="13" t="s">
        <v>1053</v>
      </c>
      <c r="B1" s="10" t="s">
        <v>1054</v>
      </c>
    </row>
    <row r="2" customFormat="false" ht="35.05" hidden="false" customHeight="false" outlineLevel="0" collapsed="false">
      <c r="A2" s="13" t="s">
        <v>1055</v>
      </c>
      <c r="B2" s="10" t="s">
        <v>1056</v>
      </c>
    </row>
    <row r="3" customFormat="false" ht="35.05" hidden="false" customHeight="false" outlineLevel="0" collapsed="false">
      <c r="A3" s="13" t="s">
        <v>1057</v>
      </c>
      <c r="B3" s="10" t="s">
        <v>1058</v>
      </c>
    </row>
    <row r="4" customFormat="false" ht="23.85" hidden="false" customHeight="false" outlineLevel="0" collapsed="false">
      <c r="A4" s="13" t="s">
        <v>322</v>
      </c>
      <c r="B4" s="10" t="s">
        <v>1059</v>
      </c>
    </row>
    <row r="5" customFormat="false" ht="23.85" hidden="false" customHeight="false" outlineLevel="0" collapsed="false">
      <c r="A5" s="13" t="s">
        <v>1060</v>
      </c>
      <c r="B5" s="10" t="s">
        <v>1061</v>
      </c>
    </row>
    <row r="6" customFormat="false" ht="35.05" hidden="false" customHeight="false" outlineLevel="0" collapsed="false">
      <c r="A6" s="13" t="s">
        <v>1062</v>
      </c>
      <c r="B6" s="10" t="s">
        <v>1063</v>
      </c>
    </row>
    <row r="7" customFormat="false" ht="15" hidden="false" customHeight="false" outlineLevel="0" collapsed="false">
      <c r="A7" s="13" t="s">
        <v>1064</v>
      </c>
      <c r="B7" s="10" t="s">
        <v>1065</v>
      </c>
    </row>
    <row r="8" customFormat="false" ht="15" hidden="false" customHeight="false" outlineLevel="0" collapsed="false">
      <c r="A8" s="13" t="s">
        <v>1066</v>
      </c>
      <c r="B8" s="10" t="s">
        <v>1067</v>
      </c>
    </row>
    <row r="9" customFormat="false" ht="15" hidden="false" customHeight="false" outlineLevel="0" collapsed="false">
      <c r="A9" s="13" t="s">
        <v>1068</v>
      </c>
      <c r="B9" s="10" t="s">
        <v>1069</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2026-10-02T11:13:44Z</dcterms:created>
  <dc:creator>openpyxl</dc:creator>
  <dc:description/>
  <dc:language>en-US</dc:language>
  <cp:lastModifiedBy/>
  <dcterms:modified xsi:type="dcterms:W3CDTF">2026-10-02T11:13:44Z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