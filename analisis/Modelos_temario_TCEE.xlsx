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Matriz" sheetId="2" state="visible" r:id="rId4"/>
    <sheet name="Detalle" sheetId="3" state="visible" r:id="rId5"/>
    <sheet name="Temas" sheetId="4" state="visible" r:id="rId6"/>
    <sheet name="Notas" sheetId="5" state="visible" r:id="rId7"/>
  </sheets>
  <definedNames>
    <definedName function="false" hidden="true" localSheetId="0" name="_xlnm._FilterDatabase" vbProcedure="false">Resumen!$A$4:$K$144</definedName>
    <definedName function="false" hidden="true" localSheetId="3" name="_xlnm._FilterDatabase" vbProcedure="false">Temas!$A$1:$E$108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<sst xmlns="http://schemas.openxmlformats.org/spreadsheetml/2006/main" count="9041" uniqueCount="2276">
  <si>
    <t xml:space="preserve">Modelos del temario TCEE y temas en los que aparecen (original o variante)</t>
  </si>
  <si>
    <t xml:space="preserve">Fuente: github.com/OposicionTCEE (107 repos, clonados el 02/10/2026). Detección automática por patrones + revisión manual de ambigüedades; ver hoja "Notas". Nº de temas y desglose por bloque se calculan con fórmulas sobre la hoja "Matriz".</t>
  </si>
  <si>
    <t xml:space="preserve">Área</t>
  </si>
  <si>
    <t xml:space="preserve">Modelo (versión original)</t>
  </si>
  <si>
    <t xml:space="preserve">Autor(es) y año</t>
  </si>
  <si>
    <t xml:space="preserve">Nº temas</t>
  </si>
  <si>
    <t xml:space="preserve">Bloque 3.A</t>
  </si>
  <si>
    <t xml:space="preserve">Bloque 3.B</t>
  </si>
  <si>
    <t xml:space="preserve">Bloque 4.B</t>
  </si>
  <si>
    <t xml:space="preserve">Temas donde aparece (original o variante)</t>
  </si>
  <si>
    <t xml:space="preserve">Temas donde se desarrolla (D)</t>
  </si>
  <si>
    <t xml:space="preserve">Variantes detectadas</t>
  </si>
  <si>
    <t xml:space="preserve">Temas solo por variante</t>
  </si>
  <si>
    <t xml:space="preserve">Pensamiento económico</t>
  </si>
  <si>
    <t xml:space="preserve">Tableau économique</t>
  </si>
  <si>
    <t xml:space="preserve">Quesnay (1758)</t>
  </si>
  <si>
    <t xml:space="preserve">3.A.2, 3.A.5, 3.A.31, 4.B.13</t>
  </si>
  <si>
    <t xml:space="preserve">—</t>
  </si>
  <si>
    <t xml:space="preserve">Modelo malthusiano de población</t>
  </si>
  <si>
    <t xml:space="preserve">Malthus (1798)</t>
  </si>
  <si>
    <t xml:space="preserve">3.A.2</t>
  </si>
  <si>
    <t xml:space="preserve">Economía de Robinson Crusoe</t>
  </si>
  <si>
    <t xml:space="preserve">Tradición neoclásica</t>
  </si>
  <si>
    <t xml:space="preserve">3.A.3, 3.A.29, 3.A.35</t>
  </si>
  <si>
    <t xml:space="preserve">Microeconomía</t>
  </si>
  <si>
    <t xml:space="preserve">Utilidad esperada</t>
  </si>
  <si>
    <t xml:space="preserve">von Neumann-Morgenstern (1944)</t>
  </si>
  <si>
    <t xml:space="preserve">3.A.1, 3.A.3, 3.A.7, 3.A.8, 3.A.10, 3.A.13, 3.A.15, 3.A.19, 3.A.29, 3.A.42, 3.B.13, 3.B.14</t>
  </si>
  <si>
    <t xml:space="preserve">3.A.10</t>
  </si>
  <si>
    <t xml:space="preserve">Múltiples previos / maxmin (Gilboa-Schmeidler); Utilidad subjetiva esperada (Savage)</t>
  </si>
  <si>
    <t xml:space="preserve">Teoría prospectiva</t>
  </si>
  <si>
    <t xml:space="preserve">Kahneman-Tversky (1979)</t>
  </si>
  <si>
    <t xml:space="preserve">3.A.1, 3.A.10, 3.A.33, 3.B.13</t>
  </si>
  <si>
    <t xml:space="preserve">Descuento cuasi-hiperbólico</t>
  </si>
  <si>
    <t xml:space="preserve">Laibson (1997)</t>
  </si>
  <si>
    <t xml:space="preserve">3.A.1, 3.A.29, 4.B.24</t>
  </si>
  <si>
    <t xml:space="preserve">Asignación del tiempo</t>
  </si>
  <si>
    <t xml:space="preserve">Becker (1965)</t>
  </si>
  <si>
    <t xml:space="preserve">3.A.25</t>
  </si>
  <si>
    <t xml:space="preserve">Elección ocio-consumo (oferta de trabajo neoclásica)</t>
  </si>
  <si>
    <t xml:space="preserve">Robbins (1930) / tradición neoclásica</t>
  </si>
  <si>
    <t xml:space="preserve">3.A.3, 3.A.6, 3.A.7, 3.A.22, 3.A.25, 3.A.35, 3.A.41</t>
  </si>
  <si>
    <t xml:space="preserve">3.A.6</t>
  </si>
  <si>
    <t xml:space="preserve">Competencia monopolística</t>
  </si>
  <si>
    <t xml:space="preserve">Chamberlin (1933)</t>
  </si>
  <si>
    <t xml:space="preserve">3.A.4, 3.A.7, 3.A.15, 3.A.17, 3.A.18, 3.A.19, 3.A.20, 3.A.28, 3.A.37, 3.A.41, 3.A.42, 3.A.44, 3.B.6, 3.B.7, 3.B.10</t>
  </si>
  <si>
    <t xml:space="preserve">3.A.7, 3.A.18, 3.A.19, 3.B.6, 3.B.7</t>
  </si>
  <si>
    <t xml:space="preserve">Dixit-Stiglitz (1977)</t>
  </si>
  <si>
    <t xml:space="preserve">3.A.20</t>
  </si>
  <si>
    <t xml:space="preserve">Duopolio de Cournot</t>
  </si>
  <si>
    <t xml:space="preserve">Cournot (1838)</t>
  </si>
  <si>
    <t xml:space="preserve">3.A.18, 3.A.19</t>
  </si>
  <si>
    <t xml:space="preserve">Kreps-Scheinkman (1983)</t>
  </si>
  <si>
    <t xml:space="preserve">Duopolio de Bertrand</t>
  </si>
  <si>
    <t xml:space="preserve">Bertrand (1883)</t>
  </si>
  <si>
    <t xml:space="preserve">Bertrand-Edgeworth (restricciones de capacidad)</t>
  </si>
  <si>
    <t xml:space="preserve">Liderazgo de Stackelberg</t>
  </si>
  <si>
    <t xml:space="preserve">von Stackelberg (1934)</t>
  </si>
  <si>
    <t xml:space="preserve">3.A.19, 3.B.8, 3.B.16</t>
  </si>
  <si>
    <t xml:space="preserve">3.A.19</t>
  </si>
  <si>
    <t xml:space="preserve">Ciudad lineal (diferenciación espacial)</t>
  </si>
  <si>
    <t xml:space="preserve">Hotelling (1929)</t>
  </si>
  <si>
    <t xml:space="preserve">3.A.6, 3.A.18, 3.A.19</t>
  </si>
  <si>
    <t xml:space="preserve">3.A.18</t>
  </si>
  <si>
    <t xml:space="preserve">Ciudad circular (Salop 1979); Competencia espacial política (Hotelling-Downs)</t>
  </si>
  <si>
    <t xml:space="preserve">Modelo de la telaraña</t>
  </si>
  <si>
    <t xml:space="preserve">Kaldor (1934) / Ezekiel (1938)</t>
  </si>
  <si>
    <t xml:space="preserve">3.A.16</t>
  </si>
  <si>
    <t xml:space="preserve">Precio límite</t>
  </si>
  <si>
    <t xml:space="preserve">Bain (1949) / Sylos-Labini (1956)</t>
  </si>
  <si>
    <t xml:space="preserve">Precio límite con información asimétrica (Milgrom-Roberts 1982)</t>
  </si>
  <si>
    <t xml:space="preserve">Mercados disputables</t>
  </si>
  <si>
    <t xml:space="preserve">Baumol-Panzar-Willig (1982)</t>
  </si>
  <si>
    <t xml:space="preserve">3.A.15, 4.B.15</t>
  </si>
  <si>
    <t xml:space="preserve">Maximización de ventas</t>
  </si>
  <si>
    <t xml:space="preserve">Baumol (1959)</t>
  </si>
  <si>
    <t xml:space="preserve">3.A.15</t>
  </si>
  <si>
    <t xml:space="preserve">Maximización del crecimiento de la empresa</t>
  </si>
  <si>
    <t xml:space="preserve">Marris (1964)</t>
  </si>
  <si>
    <t xml:space="preserve">Preferencia por el gasto (discrecionalidad directiva)</t>
  </si>
  <si>
    <t xml:space="preserve">Williamson (1964)</t>
  </si>
  <si>
    <t xml:space="preserve">Principal-agente</t>
  </si>
  <si>
    <t xml:space="preserve">Ross (1973) / Jensen-Meckling (1976)</t>
  </si>
  <si>
    <t xml:space="preserve">3.A.13, 3.A.15, 3.A.23, 3.A.27, 3.A.33, 3.A.34, 3.B.3, 3.B.26, 3.B.27, 4.B.14, 4.B.15</t>
  </si>
  <si>
    <t xml:space="preserve">3.A.13</t>
  </si>
  <si>
    <t xml:space="preserve">Holmström (1979, riesgo moral); Jensen-Meckling (1976, costes de agencia)</t>
  </si>
  <si>
    <t xml:space="preserve">3.B.26, 3.B.27, 4.B.15</t>
  </si>
  <si>
    <t xml:space="preserve">Mercado de limones (selección adversa)</t>
  </si>
  <si>
    <t xml:space="preserve">Akerlof (1970)</t>
  </si>
  <si>
    <t xml:space="preserve">3.A.1, 3.A.7, 3.A.10, 3.A.13, 3.A.27, 3.B.16, 3.B.26, 4.B.10, 4.B.12, 4.B.15, 4.B.24</t>
  </si>
  <si>
    <t xml:space="preserve">3.A.7, 3.A.13, 4.B.15</t>
  </si>
  <si>
    <t xml:space="preserve">Filtrado en mercado de seguros</t>
  </si>
  <si>
    <t xml:space="preserve">Rothschild-Stiglitz (1976)</t>
  </si>
  <si>
    <t xml:space="preserve">3.A.10, 3.A.13, 4.B.24</t>
  </si>
  <si>
    <t xml:space="preserve">Señalización en el mercado de trabajo</t>
  </si>
  <si>
    <t xml:space="preserve">Spence (1973)</t>
  </si>
  <si>
    <t xml:space="preserve">3.A.13, 3.A.25</t>
  </si>
  <si>
    <t xml:space="preserve">Equilibrio general walrasiano / Arrow-Debreu</t>
  </si>
  <si>
    <t xml:space="preserve">Walras (1874) / Arrow-Debreu (1954)</t>
  </si>
  <si>
    <t xml:space="preserve">3.A.1, 3.A.6, 3.A.7, 3.A.10, 3.A.21, 3.A.23, 3.A.24, 3.A.27, 3.A.29, 3.A.42</t>
  </si>
  <si>
    <t xml:space="preserve">3.A.21</t>
  </si>
  <si>
    <t xml:space="preserve">Patinkin (integración monetaria del EG)</t>
  </si>
  <si>
    <t xml:space="preserve">Tablas input-output</t>
  </si>
  <si>
    <t xml:space="preserve">Leontief (1936)</t>
  </si>
  <si>
    <t xml:space="preserve">3.A.5, 3.A.11, 3.A.30, 3.A.31, 3.B.9, 3.B.18, 3.B.32</t>
  </si>
  <si>
    <t xml:space="preserve">3.A.31, 3.B.18</t>
  </si>
  <si>
    <t xml:space="preserve">Equilibrio general computable (CGE)</t>
  </si>
  <si>
    <t xml:space="preserve">Johansen (1960) / Shoven-Whalley</t>
  </si>
  <si>
    <t xml:space="preserve">3.A.21, 3.B.9, 3.B.10</t>
  </si>
  <si>
    <t xml:space="preserve">3.B.10</t>
  </si>
  <si>
    <t xml:space="preserve">Análisis envolvente de datos (DEA)</t>
  </si>
  <si>
    <t xml:space="preserve">Charnes-Cooper-Rhodes (1978)</t>
  </si>
  <si>
    <t xml:space="preserve">3.A.4, 3.A.12, 3.A.32, 3.B.14</t>
  </si>
  <si>
    <t xml:space="preserve">3.A.12</t>
  </si>
  <si>
    <t xml:space="preserve">Frontera estocástica (SFA)</t>
  </si>
  <si>
    <t xml:space="preserve">Aigner-Lovell-Schmidt (1977)</t>
  </si>
  <si>
    <t xml:space="preserve">Regulación</t>
  </si>
  <si>
    <t xml:space="preserve">Sobrecapitalización bajo regulación por tasa de rendimiento</t>
  </si>
  <si>
    <t xml:space="preserve">Averch-Johnson (1962)</t>
  </si>
  <si>
    <t xml:space="preserve">Regulación con información asimétrica</t>
  </si>
  <si>
    <t xml:space="preserve">Laffont-Tirole (1986/1993)</t>
  </si>
  <si>
    <t xml:space="preserve">3.A.15, 3.A.20</t>
  </si>
  <si>
    <t xml:space="preserve">Teoría de la captura del regulador</t>
  </si>
  <si>
    <t xml:space="preserve">Stigler (1971) / Peltzman (1976)</t>
  </si>
  <si>
    <t xml:space="preserve">3.A.15, 3.A.20, 3.A.23, 3.B.39</t>
  </si>
  <si>
    <t xml:space="preserve">Sector público</t>
  </si>
  <si>
    <t xml:space="preserve">Imposición / tarificación óptima de Ramsey</t>
  </si>
  <si>
    <t xml:space="preserve">Ramsey (1927)</t>
  </si>
  <si>
    <t xml:space="preserve">3.A.1, 3.A.20, 3.A.22, 3.A.23, 3.A.38, 3.A.39, 4.B.10, 4.B.11, 4.B.13, 4.B.20</t>
  </si>
  <si>
    <t xml:space="preserve">3.A.20, 4.B.11, 4.B.13</t>
  </si>
  <si>
    <t xml:space="preserve">Corlett-Hague (1953); Diamond-Mirrlees (1971); Ramsey-Boiteux (1956)</t>
  </si>
  <si>
    <t xml:space="preserve">3.A.22, 4.B.10, 4.B.20</t>
  </si>
  <si>
    <t xml:space="preserve">Imposición óptima sobre la renta</t>
  </si>
  <si>
    <t xml:space="preserve">Mirrlees (1971)</t>
  </si>
  <si>
    <t xml:space="preserve">3.A.1, 3.A.13, 3.B.28, 4.B.10, 4.B.11, 4.B.12, 4.B.13, 4.B.16, 4.B.20, 4.B.23</t>
  </si>
  <si>
    <t xml:space="preserve">4.B.11, 4.B.13</t>
  </si>
  <si>
    <t xml:space="preserve">Atkinson-Stiglitz (1976)</t>
  </si>
  <si>
    <t xml:space="preserve">4.B.23</t>
  </si>
  <si>
    <t xml:space="preserve">Imposición óptima del capital (tipo cero a largo plazo)</t>
  </si>
  <si>
    <t xml:space="preserve">Chamley (1986) / Judd (1985)</t>
  </si>
  <si>
    <t xml:space="preserve">4.B.11, 4.B.12, 4.B.13, 4.B.16</t>
  </si>
  <si>
    <t xml:space="preserve">4.B.11, 4.B.12</t>
  </si>
  <si>
    <t xml:space="preserve">Incidencia impositiva en equilibrio general</t>
  </si>
  <si>
    <t xml:space="preserve">Harberger (1962)</t>
  </si>
  <si>
    <t xml:space="preserve">4.B.8, 4.B.12</t>
  </si>
  <si>
    <t xml:space="preserve">4.B.8</t>
  </si>
  <si>
    <t xml:space="preserve">Administración tributaria óptima</t>
  </si>
  <si>
    <t xml:space="preserve">Keen-Slemrod (2017)</t>
  </si>
  <si>
    <t xml:space="preserve">4.B.11</t>
  </si>
  <si>
    <t xml:space="preserve">Evasión fiscal</t>
  </si>
  <si>
    <t xml:space="preserve">Allingham-Sandmo (1972)</t>
  </si>
  <si>
    <t xml:space="preserve">3.A.10, 3.A.22, 4.B.11</t>
  </si>
  <si>
    <t xml:space="preserve">Yitzhaki (1974)</t>
  </si>
  <si>
    <t xml:space="preserve">Imposición y asunción de riesgos</t>
  </si>
  <si>
    <t xml:space="preserve">Domar-Musgrave (1944)</t>
  </si>
  <si>
    <t xml:space="preserve">4.B.10</t>
  </si>
  <si>
    <t xml:space="preserve">Votar con los pies</t>
  </si>
  <si>
    <t xml:space="preserve">Tiebout (1956)</t>
  </si>
  <si>
    <t xml:space="preserve">3.A.23, 4.B.12, 4.B.14, 4.B.17, 4.B.19, 4.B.25</t>
  </si>
  <si>
    <t xml:space="preserve">4.B.14, 4.B.25</t>
  </si>
  <si>
    <t xml:space="preserve">Teorema de la descentralización</t>
  </si>
  <si>
    <t xml:space="preserve">Oates (1972)</t>
  </si>
  <si>
    <t xml:space="preserve">4.B.12, 4.B.14, 4.B.19, 4.B.21, 4.B.24, 4.B.25</t>
  </si>
  <si>
    <t xml:space="preserve">Teoría de los clubes</t>
  </si>
  <si>
    <t xml:space="preserve">Buchanan (1965)</t>
  </si>
  <si>
    <t xml:space="preserve">3.A.23, 4.B.14</t>
  </si>
  <si>
    <t xml:space="preserve">4.B.14</t>
  </si>
  <si>
    <t xml:space="preserve">Burocracia maximizadora del presupuesto</t>
  </si>
  <si>
    <t xml:space="preserve">Niskanen (1971)</t>
  </si>
  <si>
    <t xml:space="preserve">3.A.15, 4.B.14, 4.B.15, 4.B.24, 4.B.25</t>
  </si>
  <si>
    <t xml:space="preserve">4.B.15</t>
  </si>
  <si>
    <t xml:space="preserve">Dunleavy (1991, bureau-shaping); Migué-Bélanger (1974)</t>
  </si>
  <si>
    <t xml:space="preserve">Leviatán</t>
  </si>
  <si>
    <t xml:space="preserve">Brennan-Buchanan (1980)</t>
  </si>
  <si>
    <t xml:space="preserve">4.B.12, 4.B.13, 4.B.14, 4.B.25</t>
  </si>
  <si>
    <t xml:space="preserve">4.B.12, 4.B.13, 4.B.14</t>
  </si>
  <si>
    <t xml:space="preserve">Votante mediano</t>
  </si>
  <si>
    <t xml:space="preserve">Black (1948) / Downs (1957)</t>
  </si>
  <si>
    <t xml:space="preserve">3.A.24, 3.A.39, 3.B.7, 4.B.14, 4.B.24, 4.B.25</t>
  </si>
  <si>
    <t xml:space="preserve">4.B.24</t>
  </si>
  <si>
    <t xml:space="preserve">Bienes públicos: provisión eficiente</t>
  </si>
  <si>
    <t xml:space="preserve">Samuelson (1954)</t>
  </si>
  <si>
    <t xml:space="preserve">3.A.23, 3.A.24, 4.B.12, 4.B.14</t>
  </si>
  <si>
    <t xml:space="preserve">3.A.23, 4.B.12</t>
  </si>
  <si>
    <t xml:space="preserve">Clarke-Groves (mecanismo de revelación); Lindahl (1919)</t>
  </si>
  <si>
    <t xml:space="preserve">3.A.24, 4.B.12</t>
  </si>
  <si>
    <t xml:space="preserve">Ciclo político</t>
  </si>
  <si>
    <t xml:space="preserve">Nordhaus (1975)</t>
  </si>
  <si>
    <t xml:space="preserve">3.A.6, 3.A.20, 4.B.21, 4.B.24</t>
  </si>
  <si>
    <t xml:space="preserve">Macroeconomía</t>
  </si>
  <si>
    <t xml:space="preserve">Modelo keynesiano simple (renta-gasto / aspa keynesiana)</t>
  </si>
  <si>
    <t xml:space="preserve">Keynes (1936) / Samuelson</t>
  </si>
  <si>
    <t xml:space="preserve">3.A.40, 3.B.14</t>
  </si>
  <si>
    <t xml:space="preserve">IS-LM</t>
  </si>
  <si>
    <t xml:space="preserve">Hicks (1937) / Hansen (1953)</t>
  </si>
  <si>
    <t xml:space="preserve">3.A.4, 3.A.5, 3.A.6, 3.A.7, 3.A.28, 3.A.35, 3.A.36, 3.A.38, 3.A.39, 3.A.40, 3.B.15, 3.B.19</t>
  </si>
  <si>
    <t xml:space="preserve">3.A.5</t>
  </si>
  <si>
    <t xml:space="preserve">Oferta y demanda agregadas</t>
  </si>
  <si>
    <t xml:space="preserve">Síntesis neoclásica</t>
  </si>
  <si>
    <t xml:space="preserve">3.A.4, 3.A.42</t>
  </si>
  <si>
    <t xml:space="preserve">Modelos de desequilibrio</t>
  </si>
  <si>
    <t xml:space="preserve">Barro-Grossman (1971) / Malinvaud (1977)</t>
  </si>
  <si>
    <t xml:space="preserve">3.A.4, 3.A.21</t>
  </si>
  <si>
    <t xml:space="preserve">Ciclo Real (RBC)</t>
  </si>
  <si>
    <t xml:space="preserve">Kydland-Prescott (1982) / Long-Plosser (1983)</t>
  </si>
  <si>
    <t xml:space="preserve">3.A.1, 3.A.6, 3.A.7, 3.A.25, 3.A.29, 3.A.32, 3.A.40, 3.A.42</t>
  </si>
  <si>
    <t xml:space="preserve">3.A.6, 3.A.40, 3.A.42</t>
  </si>
  <si>
    <t xml:space="preserve">Trabajo indivisible (Hansen-Rogerson)</t>
  </si>
  <si>
    <t xml:space="preserve">Inconsistencia temporal de la política</t>
  </si>
  <si>
    <t xml:space="preserve">Kydland-Prescott (1977)</t>
  </si>
  <si>
    <t xml:space="preserve">3.A.1, 3.A.6, 3.A.20, 3.A.23, 3.A.29, 3.A.33, 3.A.36, 3.A.40, 3.B.2, 3.B.12, 3.B.15, 3.B.16, 3.B.17, 3.B.19, 3.B.26, 3.B.27, 3.B.33, 4.B.11, 4.B.21, 4.B.24, 4.B.25, 4.B.26</t>
  </si>
  <si>
    <t xml:space="preserve">3.A.6, 3.A.20, 3.A.23, 3.B.15, 4.B.24</t>
  </si>
  <si>
    <t xml:space="preserve">Atarse las manos en economía abierta (Giavazzi-Pagano 1988); Banquero central conservador (Rogoff 1985); Barro-Gordon (1983); Contrato óptimo (Walsh 1995)</t>
  </si>
  <si>
    <t xml:space="preserve">3.A.40, 3.B.12, 4.B.26</t>
  </si>
  <si>
    <t xml:space="preserve">Islas de Lucas (información imperfecta)</t>
  </si>
  <si>
    <t xml:space="preserve">Lucas (1972, 1973)</t>
  </si>
  <si>
    <t xml:space="preserve">3.A.1, 3.A.6, 3.A.7, 3.A.26</t>
  </si>
  <si>
    <t xml:space="preserve">Contratos escalonados (rigidez nominal)</t>
  </si>
  <si>
    <t xml:space="preserve">Fischer (1977) / Taylor (1979)</t>
  </si>
  <si>
    <t xml:space="preserve">3.A.7, 3.A.28, 3.A.32, 3.A.37, 3.A.41, 3.A.42</t>
  </si>
  <si>
    <t xml:space="preserve">3.A.7</t>
  </si>
  <si>
    <t xml:space="preserve">Precios a la Calvo (1983)</t>
  </si>
  <si>
    <t xml:space="preserve">3.A.28, 3.A.32, 3.A.37, 3.A.42</t>
  </si>
  <si>
    <t xml:space="preserve">Costes de menú</t>
  </si>
  <si>
    <t xml:space="preserve">Mankiw (1985) / Akerlof-Yellen (1985)</t>
  </si>
  <si>
    <t xml:space="preserve">3.A.6, 3.A.7, 3.A.34, 3.A.35, 3.A.41, 3.A.42</t>
  </si>
  <si>
    <t xml:space="preserve">Blanchard-Kiyotaki (1987); Caplin-Spulber (1987); Rigideces reales (Ball-Romer 1990)</t>
  </si>
  <si>
    <t xml:space="preserve">3.A.34</t>
  </si>
  <si>
    <t xml:space="preserve">Información rígida</t>
  </si>
  <si>
    <t xml:space="preserve">Mankiw-Reis (2002)</t>
  </si>
  <si>
    <t xml:space="preserve">Nuevo keynesiano de tres ecuaciones (NEK-2)</t>
  </si>
  <si>
    <t xml:space="preserve">Clarida-Galí-Gertler (1999) / Woodford (2003)</t>
  </si>
  <si>
    <t xml:space="preserve">3.A.7, 3.A.28, 3.A.32, 3.A.35, 3.A.37, 3.A.38, 3.A.40, 3.A.41, 3.A.42, 3.B.12, 3.B.19</t>
  </si>
  <si>
    <t xml:space="preserve">3.A.7, 3.A.28, 3.A.32, 3.A.37, 3.A.38, 3.A.40, 3.A.41, 3.A.42, 3.B.19</t>
  </si>
  <si>
    <t xml:space="preserve">Carlin-Soskice (2005); NK con desempleo (Blanchard-Galí 2010)</t>
  </si>
  <si>
    <t xml:space="preserve">3.B.12</t>
  </si>
  <si>
    <t xml:space="preserve">DSGE</t>
  </si>
  <si>
    <t xml:space="preserve">Smets-Wouters (2003) / Christiano-Eichenbaum-Evans (2005)</t>
  </si>
  <si>
    <t xml:space="preserve">3.A.1, 3.A.4, 3.A.5, 3.A.6, 3.A.7, 3.A.20, 3.A.21, 3.A.28, 3.A.29, 3.A.32, 3.A.35, 3.A.37, 3.A.41, 3.A.42, 3.B.12, 3.B.25, 3.B.31, 3.B.43, 4.B.17</t>
  </si>
  <si>
    <t xml:space="preserve">3.A.7, 3.A.42, 3.B.31</t>
  </si>
  <si>
    <t xml:space="preserve">E-DSGE (clima); HANK (agentes heterogéneos)</t>
  </si>
  <si>
    <t xml:space="preserve">4.B.17</t>
  </si>
  <si>
    <t xml:space="preserve">Modelos basados en agentes (ABM)</t>
  </si>
  <si>
    <t xml:space="preserve">Tesfatsion / Farmer-Foley</t>
  </si>
  <si>
    <t xml:space="preserve">3.A.1, 3.A.7, 3.A.29, 3.A.32, 3.B.14</t>
  </si>
  <si>
    <t xml:space="preserve">3.A.29, 3.A.32, 3.B.14</t>
  </si>
  <si>
    <t xml:space="preserve">Modelos VAR</t>
  </si>
  <si>
    <t xml:space="preserve">Sims (1980)</t>
  </si>
  <si>
    <t xml:space="preserve">3.A.4, 3.A.6, 3.A.32, 3.A.35, 3.A.37, 3.A.42, 3.B.15</t>
  </si>
  <si>
    <t xml:space="preserve">3.A.35, 3.A.37</t>
  </si>
  <si>
    <t xml:space="preserve">SVAR (VAR estructural)</t>
  </si>
  <si>
    <t xml:space="preserve">Modelos ARMA/ARIMA</t>
  </si>
  <si>
    <t xml:space="preserve">Box-Jenkins (1970)</t>
  </si>
  <si>
    <t xml:space="preserve">3.A.29, 3.A.42, 3.B.26</t>
  </si>
  <si>
    <t xml:space="preserve">Modelos ARCH/GARCH</t>
  </si>
  <si>
    <t xml:space="preserve">Engle (1982) / Bollerslev (1986)</t>
  </si>
  <si>
    <t xml:space="preserve">3.B.26, 3.B.27</t>
  </si>
  <si>
    <t xml:space="preserve">Renta permanente</t>
  </si>
  <si>
    <t xml:space="preserve">Friedman (1957)</t>
  </si>
  <si>
    <t xml:space="preserve">3.A.5, 3.A.10, 3.A.29, 3.A.33, 3.A.35, 3.A.37, 3.A.38, 3.A.39, 3.A.40, 3.A.41, 3.B.14, 3.B.29, 4.B.10, 4.B.12, 4.B.13, 4.B.15, 4.B.26</t>
  </si>
  <si>
    <t xml:space="preserve">3.A.5, 3.A.33, 3.A.35, 4.B.12</t>
  </si>
  <si>
    <t xml:space="preserve">Campbell-Mankiw (1989); Hall-Mishkin (1982); Paseo aleatorio del consumo (Hall 1978); Stock amortiguador / ahorro precautorio (Carroll)</t>
  </si>
  <si>
    <t xml:space="preserve">3.A.10, 3.A.37, 3.A.41, 4.B.10, 4.B.15</t>
  </si>
  <si>
    <t xml:space="preserve">Ciclo vital</t>
  </si>
  <si>
    <t xml:space="preserve">Modigliani-Brumberg (1954)</t>
  </si>
  <si>
    <t xml:space="preserve">3.A.5, 3.A.6, 3.A.25, 3.A.33, 3.B.3, 4.B.19</t>
  </si>
  <si>
    <t xml:space="preserve">3.A.33</t>
  </si>
  <si>
    <t xml:space="preserve">Ciclo vital conductual (Shefrin-Thaler 1988)</t>
  </si>
  <si>
    <t xml:space="preserve">3.B.3</t>
  </si>
  <si>
    <t xml:space="preserve">Renta relativa</t>
  </si>
  <si>
    <t xml:space="preserve">Duesenberry (1949)</t>
  </si>
  <si>
    <t xml:space="preserve">3.A.33, 3.B.14, 4.B.24, 4.B.25</t>
  </si>
  <si>
    <t xml:space="preserve">Acelerador de la inversión</t>
  </si>
  <si>
    <t xml:space="preserve">Clark (1917)</t>
  </si>
  <si>
    <t xml:space="preserve">3.A.4, 3.A.5, 3.A.7, 3.A.28, 3.A.41, 3.A.42, 3.B.17, 3.B.20, 3.B.39</t>
  </si>
  <si>
    <t xml:space="preserve">Multiplicador-acelerador (Samuelson 1939)</t>
  </si>
  <si>
    <t xml:space="preserve">Teoría neoclásica de la inversión</t>
  </si>
  <si>
    <t xml:space="preserve">Jorgenson (1963)</t>
  </si>
  <si>
    <t xml:space="preserve">3.A.6, 3.A.25, 3.A.34, 4.B.8, 4.B.9</t>
  </si>
  <si>
    <t xml:space="preserve">q de Tobin</t>
  </si>
  <si>
    <t xml:space="preserve">Tobin (1969)</t>
  </si>
  <si>
    <t xml:space="preserve">3.A.4, 3.A.5, 3.A.34</t>
  </si>
  <si>
    <t xml:space="preserve">Hayashi (1982)</t>
  </si>
  <si>
    <t xml:space="preserve">Opciones reales de inversión</t>
  </si>
  <si>
    <t xml:space="preserve">Dixit-Pindyck (1994)</t>
  </si>
  <si>
    <t xml:space="preserve">3.A.34, 3.B.2, 3.B.4, 3.B.25</t>
  </si>
  <si>
    <t xml:space="preserve">3.A.34, 3.B.2, 3.B.4</t>
  </si>
  <si>
    <t xml:space="preserve">Acelerador financiero</t>
  </si>
  <si>
    <t xml:space="preserve">Bernanke-Gertler-Gilchrist (1999)</t>
  </si>
  <si>
    <t xml:space="preserve">3.A.32, 3.A.34, 3.A.37, 3.A.41, 3.A.42, 3.B.26</t>
  </si>
  <si>
    <t xml:space="preserve">3.A.37, 3.A.42</t>
  </si>
  <si>
    <t xml:space="preserve">Demanda de dinero por inventario</t>
  </si>
  <si>
    <t xml:space="preserve">Baumol (1952) / Tobin (1956)</t>
  </si>
  <si>
    <t xml:space="preserve">3.A.35, 3.A.41</t>
  </si>
  <si>
    <t xml:space="preserve">3.A.35</t>
  </si>
  <si>
    <t xml:space="preserve">Shopping-time</t>
  </si>
  <si>
    <t xml:space="preserve">3.A.41</t>
  </si>
  <si>
    <t xml:space="preserve">Dinero en la función de utilidad (MIU)</t>
  </si>
  <si>
    <t xml:space="preserve">Sidrauski (1967)</t>
  </si>
  <si>
    <t xml:space="preserve">3.A.21, 3.A.35, 3.A.42</t>
  </si>
  <si>
    <t xml:space="preserve">Cash-in-advance (CIA)</t>
  </si>
  <si>
    <t xml:space="preserve">Clower (1967) / Lucas-Stokey</t>
  </si>
  <si>
    <t xml:space="preserve">3.A.6, 3.A.21, 3.A.35, 3.A.41</t>
  </si>
  <si>
    <t xml:space="preserve">Hiperinflación</t>
  </si>
  <si>
    <t xml:space="preserve">Cagan (1956)</t>
  </si>
  <si>
    <t xml:space="preserve">3.A.5, 3.A.41</t>
  </si>
  <si>
    <t xml:space="preserve">Aritmética monetarista desagradable</t>
  </si>
  <si>
    <t xml:space="preserve">Sargent-Wallace (1981)</t>
  </si>
  <si>
    <t xml:space="preserve">3.A.6, 4.B.26</t>
  </si>
  <si>
    <t xml:space="preserve">Elección del instrumento de política monetaria</t>
  </si>
  <si>
    <t xml:space="preserve">Poole (1970)</t>
  </si>
  <si>
    <t xml:space="preserve">3.A.36, 3.B.16</t>
  </si>
  <si>
    <t xml:space="preserve">3.A.36</t>
  </si>
  <si>
    <t xml:space="preserve">Suavización impositiva</t>
  </si>
  <si>
    <t xml:space="preserve">Barro (1979)</t>
  </si>
  <si>
    <t xml:space="preserve">3.A.35, 3.A.37, 3.A.38, 4.B.25, 4.B.26</t>
  </si>
  <si>
    <t xml:space="preserve">Mercado de trabajo</t>
  </si>
  <si>
    <t xml:space="preserve">Salarios de eficiencia</t>
  </si>
  <si>
    <t xml:space="preserve">Solow (1979)</t>
  </si>
  <si>
    <t xml:space="preserve">3.A.1, 3.A.6, 3.A.7, 3.A.13, 3.A.27</t>
  </si>
  <si>
    <t xml:space="preserve">3.A.27</t>
  </si>
  <si>
    <t xml:space="preserve">Shapiro-Stiglitz (1984)</t>
  </si>
  <si>
    <t xml:space="preserve">Insiders-outsiders</t>
  </si>
  <si>
    <t xml:space="preserve">Lindbeck-Snower (1986)</t>
  </si>
  <si>
    <t xml:space="preserve">3.A.27, 3.A.28</t>
  </si>
  <si>
    <t xml:space="preserve">Monopolio sindical</t>
  </si>
  <si>
    <t xml:space="preserve">Dunlop (1944)</t>
  </si>
  <si>
    <t xml:space="preserve">3.A.25, 3.A.27, 3.B.16</t>
  </si>
  <si>
    <t xml:space="preserve">Derecho a gestionar (Nickell-Andrews 1983); Negociación eficiente (McDonald-Solow 1981)</t>
  </si>
  <si>
    <t xml:space="preserve">3.A.25, 3.B.16</t>
  </si>
  <si>
    <t xml:space="preserve">Búsqueda y emparejamiento (DMP)</t>
  </si>
  <si>
    <t xml:space="preserve">Diamond-Mortensen-Pissarides (1982-94)</t>
  </si>
  <si>
    <t xml:space="preserve">3.A.7, 3.A.15, 3.A.26, 3.A.28, 3.B.10</t>
  </si>
  <si>
    <t xml:space="preserve">3.A.26, 3.A.28</t>
  </si>
  <si>
    <t xml:space="preserve">Búsqueda secuencial (McCall 1970)</t>
  </si>
  <si>
    <t xml:space="preserve">NAIRU / WS-PS</t>
  </si>
  <si>
    <t xml:space="preserve">Layard-Nickell-Jackman (1991)</t>
  </si>
  <si>
    <t xml:space="preserve">3.A.28, 3.A.41</t>
  </si>
  <si>
    <t xml:space="preserve">Histéresis (Blanchard-Summers 1986)</t>
  </si>
  <si>
    <t xml:space="preserve">Crecimiento</t>
  </si>
  <si>
    <t xml:space="preserve">Harrod-Domar</t>
  </si>
  <si>
    <t xml:space="preserve">Harrod (1939) / Domar (1946)</t>
  </si>
  <si>
    <t xml:space="preserve">3.A.4, 3.A.5, 3.B.29, 4.B.26</t>
  </si>
  <si>
    <t xml:space="preserve">Solow-Swan</t>
  </si>
  <si>
    <t xml:space="preserve">Solow (1956) / Swan (1956)</t>
  </si>
  <si>
    <t xml:space="preserve">3.A.43, 3.A.44, 3.A.45, 3.B.16</t>
  </si>
  <si>
    <t xml:space="preserve">3.A.43</t>
  </si>
  <si>
    <t xml:space="preserve">Solow aumentado con capital humano (Mankiw-Romer-Weil 1992)</t>
  </si>
  <si>
    <t xml:space="preserve">Ramsey-Cass-Koopmans</t>
  </si>
  <si>
    <t xml:space="preserve">Ramsey (1928) / Cass (1965) / Koopmans (1965)</t>
  </si>
  <si>
    <t xml:space="preserve">3.A.6, 3.A.21, 3.A.29, 3.A.35, 3.A.42, 3.A.43, 3.B.28, 3.B.31</t>
  </si>
  <si>
    <t xml:space="preserve">3.A.29, 3.A.43</t>
  </si>
  <si>
    <t xml:space="preserve">Generaciones solapadas</t>
  </si>
  <si>
    <t xml:space="preserve">Samuelson (1958)</t>
  </si>
  <si>
    <t xml:space="preserve">3.A.21, 3.A.29, 3.A.35, 3.A.38, 3.A.39, 4.B.24</t>
  </si>
  <si>
    <t xml:space="preserve">3.A.29, 3.A.35, 3.A.38</t>
  </si>
  <si>
    <t xml:space="preserve">Diamond (1965); Juventud perpetua (Blanchard-Yaari 1985)</t>
  </si>
  <si>
    <t xml:space="preserve">Modelo AK</t>
  </si>
  <si>
    <t xml:space="preserve">Frankel (1962) / Rebelo (1991)</t>
  </si>
  <si>
    <t xml:space="preserve">3.A.17, 3.A.38, 3.A.40, 3.A.44, 3.B.21, 3.B.28</t>
  </si>
  <si>
    <t xml:space="preserve">3.A.38, 3.A.44</t>
  </si>
  <si>
    <t xml:space="preserve">Externalidades / learning-by-doing (Arrow 1962; Romer 1986); Gasto público productivo (Barro 1990); Jones-Manuelli (1990); Rebelo (1991)</t>
  </si>
  <si>
    <t xml:space="preserve">3.A.17, 3.A.40, 3.B.21</t>
  </si>
  <si>
    <t xml:space="preserve">Capital humano</t>
  </si>
  <si>
    <t xml:space="preserve">Uzawa (1965) / Lucas (1988)</t>
  </si>
  <si>
    <t xml:space="preserve">3.A.8, 3.A.9, 3.A.35, 3.A.44</t>
  </si>
  <si>
    <t xml:space="preserve">Expansión de variedades (I+D)</t>
  </si>
  <si>
    <t xml:space="preserve">Romer (1990)</t>
  </si>
  <si>
    <t xml:space="preserve">3.A.7, 3.A.44, 3.B.39</t>
  </si>
  <si>
    <t xml:space="preserve">3.A.44</t>
  </si>
  <si>
    <t xml:space="preserve">Escalera de calidad (destrucción creadora)</t>
  </si>
  <si>
    <t xml:space="preserve">Aghion-Howitt (1992)</t>
  </si>
  <si>
    <t xml:space="preserve">3.A.15, 3.A.44</t>
  </si>
  <si>
    <t xml:space="preserve">Desarrollo</t>
  </si>
  <si>
    <t xml:space="preserve">Gran impulso (big push)</t>
  </si>
  <si>
    <t xml:space="preserve">Rosenstein-Rodan (1943) / Murphy-Shleifer-Vishny (1989)</t>
  </si>
  <si>
    <t xml:space="preserve">3.B.9, 3.B.18, 3.B.35</t>
  </si>
  <si>
    <t xml:space="preserve">Centro-periferia (estructuralismo)</t>
  </si>
  <si>
    <t xml:space="preserve">Prebisch (1950) / Singer (1950)</t>
  </si>
  <si>
    <t xml:space="preserve">3.B.8, 3.B.9, 3.B.10, 3.B.32, 3.B.40</t>
  </si>
  <si>
    <t xml:space="preserve">Dos brechas</t>
  </si>
  <si>
    <t xml:space="preserve">Chenery-Strout (1966)</t>
  </si>
  <si>
    <t xml:space="preserve">3.A.11, 3.A.31, 3.B.29</t>
  </si>
  <si>
    <t xml:space="preserve">3.A.31</t>
  </si>
  <si>
    <t xml:space="preserve">Comercio internacional</t>
  </si>
  <si>
    <t xml:space="preserve">Modelo ricardiano</t>
  </si>
  <si>
    <t xml:space="preserve">Ricardo (1817)</t>
  </si>
  <si>
    <t xml:space="preserve">3.A.2, 3.B.5, 3.B.6, 3.B.7</t>
  </si>
  <si>
    <t xml:space="preserve">3.B.5</t>
  </si>
  <si>
    <t xml:space="preserve">Ricardiano probabilístico (Eaton-Kortum 2002)</t>
  </si>
  <si>
    <t xml:space="preserve">3.B.7</t>
  </si>
  <si>
    <t xml:space="preserve">Factores específicos</t>
  </si>
  <si>
    <t xml:space="preserve">Ricardo-Viner / Jones (1971)</t>
  </si>
  <si>
    <t xml:space="preserve">3.A.41, 3.B.5, 3.B.18</t>
  </si>
  <si>
    <t xml:space="preserve">Heckscher-Ohlin</t>
  </si>
  <si>
    <t xml:space="preserve">Heckscher (1919) / Ohlin (1933)</t>
  </si>
  <si>
    <t xml:space="preserve">3.A.1, 3.B.5, 3.B.6, 3.B.8, 3.B.18</t>
  </si>
  <si>
    <t xml:space="preserve">Heckscher-Ohlin-Samuelson (HOS); Heckscher-Ohlin-Vanek (HOV)</t>
  </si>
  <si>
    <t xml:space="preserve">3.A.1</t>
  </si>
  <si>
    <t xml:space="preserve">Nueva teoría del comercio (rendimientos crecientes)</t>
  </si>
  <si>
    <t xml:space="preserve">Krugman (1979, 1980)</t>
  </si>
  <si>
    <t xml:space="preserve">3.B.5, 3.B.6, 3.B.7, 3.B.10, 3.B.16, 3.B.17</t>
  </si>
  <si>
    <t xml:space="preserve">3.B.6</t>
  </si>
  <si>
    <t xml:space="preserve">Empresas heterogéneas</t>
  </si>
  <si>
    <t xml:space="preserve">Melitz (2003)</t>
  </si>
  <si>
    <t xml:space="preserve">3.A.1, 3.B.5, 3.B.6, 3.B.7, 3.B.8, 3.B.9, 3.B.10, 3.B.14, 3.B.16</t>
  </si>
  <si>
    <t xml:space="preserve">3.B.6, 3.B.7</t>
  </si>
  <si>
    <t xml:space="preserve">Arkolakis-Costinot-Rodríguez-Clare (2012); Chaney (2008); Melitz-Ottaviano (2008)</t>
  </si>
  <si>
    <t xml:space="preserve">3.B.9</t>
  </si>
  <si>
    <t xml:space="preserve">Modelo de gravedad</t>
  </si>
  <si>
    <t xml:space="preserve">Tinbergen (1962)</t>
  </si>
  <si>
    <t xml:space="preserve">3.A.1, 3.B.6, 3.B.7, 3.B.10, 3.B.15, 3.B.16, 3.B.18</t>
  </si>
  <si>
    <t xml:space="preserve">3.B.6, 3.B.10</t>
  </si>
  <si>
    <t xml:space="preserve">Anderson-van Wincoop (2003)</t>
  </si>
  <si>
    <t xml:space="preserve">Ciclo de vida del producto</t>
  </si>
  <si>
    <t xml:space="preserve">Vernon (1966)</t>
  </si>
  <si>
    <t xml:space="preserve">3.B.20</t>
  </si>
  <si>
    <t xml:space="preserve">Brecha tecnológica (Posner 1961)</t>
  </si>
  <si>
    <t xml:space="preserve">Política comercial estratégica</t>
  </si>
  <si>
    <t xml:space="preserve">Brander-Spencer (1985)</t>
  </si>
  <si>
    <t xml:space="preserve">3.B.8</t>
  </si>
  <si>
    <t xml:space="preserve">Nueva geografía económica (centro-periferia)</t>
  </si>
  <si>
    <t xml:space="preserve">Krugman (1991)</t>
  </si>
  <si>
    <t xml:space="preserve">3.B.10, 3.B.16, 3.B.17</t>
  </si>
  <si>
    <t xml:space="preserve">Uniones aduaneras: creación y desviación de comercio</t>
  </si>
  <si>
    <t xml:space="preserve">Viner (1950)</t>
  </si>
  <si>
    <t xml:space="preserve">3.A.22, 3.B.7, 3.B.10, 3.B.18, 3.B.34, 3.B.39</t>
  </si>
  <si>
    <t xml:space="preserve">Kemp-Wan (1976)</t>
  </si>
  <si>
    <t xml:space="preserve">Inversión extranjera y movilidad de capital</t>
  </si>
  <si>
    <t xml:space="preserve">MacDougall (1960) / Kemp (1964)</t>
  </si>
  <si>
    <t xml:space="preserve">3.B.18, 3.B.39</t>
  </si>
  <si>
    <t xml:space="preserve">Paradigma ecléctico OLI</t>
  </si>
  <si>
    <t xml:space="preserve">Dunning (1977)</t>
  </si>
  <si>
    <t xml:space="preserve">Macroeconomía abierta</t>
  </si>
  <si>
    <t xml:space="preserve">Mecanismo flujo-especie-precio</t>
  </si>
  <si>
    <t xml:space="preserve">Hume (1752)</t>
  </si>
  <si>
    <t xml:space="preserve">3.A.1, 3.A.2, 3.B.12</t>
  </si>
  <si>
    <t xml:space="preserve">Enfoque de elasticidades</t>
  </si>
  <si>
    <t xml:space="preserve">Bickerdike-Robinson-Metzler / Marshall-Lerner</t>
  </si>
  <si>
    <t xml:space="preserve">3.A.2, 3.A.4, 3.B.12</t>
  </si>
  <si>
    <t xml:space="preserve">Enfoque monetario de la balanza de pagos</t>
  </si>
  <si>
    <t xml:space="preserve">Johnson (1972) / Mundell</t>
  </si>
  <si>
    <t xml:space="preserve">3.B.22</t>
  </si>
  <si>
    <t xml:space="preserve">Mundell-Fleming</t>
  </si>
  <si>
    <t xml:space="preserve">Mundell (1963) / Fleming (1962)</t>
  </si>
  <si>
    <t xml:space="preserve">3.A.1, 3.A.5, 3.A.32, 3.A.38, 3.B.12, 3.B.14, 3.B.15, 3.B.19, 4.B.14</t>
  </si>
  <si>
    <t xml:space="preserve">3.A.38, 3.B.12, 3.B.15</t>
  </si>
  <si>
    <t xml:space="preserve">IS-LM-BP</t>
  </si>
  <si>
    <t xml:space="preserve">Modelo monetario del tipo de cambio (precios flexibles)</t>
  </si>
  <si>
    <t xml:space="preserve">Frenkel (1976) / Mussa (1976) / Bilson (1978)</t>
  </si>
  <si>
    <t xml:space="preserve">3.A.5, 3.A.17, 3.A.33, 3.A.41, 3.A.42, 3.B.14, 3.B.15, 3.B.16, 3.B.19, 3.B.31, 3.B.43, 4.B.26</t>
  </si>
  <si>
    <t xml:space="preserve">3.B.14</t>
  </si>
  <si>
    <t xml:space="preserve">Sobrerreacción (Dornbusch 1976)</t>
  </si>
  <si>
    <t xml:space="preserve">3.A.33, 3.A.41, 3.A.42, 3.B.16, 3.B.19, 3.B.31, 3.B.43, 4.B.26</t>
  </si>
  <si>
    <t xml:space="preserve">Equilibrio de cartera</t>
  </si>
  <si>
    <t xml:space="preserve">Branson (1977) / Kouri (1976)</t>
  </si>
  <si>
    <t xml:space="preserve">3.B.12, 3.B.13, 3.B.14, 3.B.18, 3.B.23</t>
  </si>
  <si>
    <t xml:space="preserve">3.B.12, 3.B.14, 3.B.23</t>
  </si>
  <si>
    <t xml:space="preserve">McKinnon (1969)</t>
  </si>
  <si>
    <t xml:space="preserve">Efecto Balassa-Samuelson</t>
  </si>
  <si>
    <t xml:space="preserve">Balassa (1964) / Samuelson (1964)</t>
  </si>
  <si>
    <t xml:space="preserve">3.B.14, 3.B.16</t>
  </si>
  <si>
    <t xml:space="preserve">Nueva macroeconomía de economía abierta (NOEM)</t>
  </si>
  <si>
    <t xml:space="preserve">Obstfeld-Rogoff (1995)</t>
  </si>
  <si>
    <t xml:space="preserve">3.A.1, 3.A.32, 3.A.42, 3.B.10, 3.B.11, 3.B.12, 3.B.14, 3.B.15, 3.B.19, 3.B.29, 4.B.26</t>
  </si>
  <si>
    <t xml:space="preserve">3.A.32, 3.B.12, 3.B.19</t>
  </si>
  <si>
    <t xml:space="preserve">Corsetti-Pesenti (2001); Pequeña economía abierta NK (Galí-Monacelli 2005)</t>
  </si>
  <si>
    <t xml:space="preserve">4.B.26</t>
  </si>
  <si>
    <t xml:space="preserve">Zona objetivo</t>
  </si>
  <si>
    <t xml:space="preserve">3.B.17</t>
  </si>
  <si>
    <t xml:space="preserve">Áreas monetarias óptimas</t>
  </si>
  <si>
    <t xml:space="preserve">Mundell (1961)</t>
  </si>
  <si>
    <t xml:space="preserve">3.B.15, 3.B.16, 3.B.35, 3.B.43, 3.B.45, 4.B.14</t>
  </si>
  <si>
    <t xml:space="preserve">3.B.16</t>
  </si>
  <si>
    <t xml:space="preserve">Endogeneidad de criterios (Frankel-Rose 1998); Kenen (1969, diversificación); McKinnon (1963, apertura)</t>
  </si>
  <si>
    <t xml:space="preserve">Coordinación internacional de políticas (teoría de juegos)</t>
  </si>
  <si>
    <t xml:space="preserve">Hamada (1976)</t>
  </si>
  <si>
    <t xml:space="preserve">3.B.19</t>
  </si>
  <si>
    <t xml:space="preserve">Crisis cambiarias de primera generación</t>
  </si>
  <si>
    <t xml:space="preserve">Krugman (1979) / Flood-Garber (1984)</t>
  </si>
  <si>
    <t xml:space="preserve">3.B.11, 3.B.15, 3.B.16, 3.B.17, 3.B.20, 3.B.21, 3.B.26</t>
  </si>
  <si>
    <t xml:space="preserve">3.B.15, 3.B.17</t>
  </si>
  <si>
    <t xml:space="preserve">Crisis cambiarias de segunda generación</t>
  </si>
  <si>
    <t xml:space="preserve">Obstfeld (1994, 1996)</t>
  </si>
  <si>
    <t xml:space="preserve">3.B.15, 3.B.17, 3.B.43</t>
  </si>
  <si>
    <t xml:space="preserve">Crisis cambiarias de tercera generación</t>
  </si>
  <si>
    <t xml:space="preserve">Krugman (1999) / Chang-Velasco (2001)</t>
  </si>
  <si>
    <t xml:space="preserve">Finanzas</t>
  </si>
  <si>
    <t xml:space="preserve">Selección de carteras media-varianza</t>
  </si>
  <si>
    <t xml:space="preserve">Markowitz (1952)</t>
  </si>
  <si>
    <t xml:space="preserve">3.A.1, 3.A.10, 3.B.2, 3.B.23</t>
  </si>
  <si>
    <t xml:space="preserve">3.A.10, 3.B.23</t>
  </si>
  <si>
    <t xml:space="preserve">CAPM</t>
  </si>
  <si>
    <t xml:space="preserve">Sharpe (1964) / Lintner (1965) / Mossin (1966)</t>
  </si>
  <si>
    <t xml:space="preserve">3.A.5, 3.B.2, 3.B.4, 3.B.13, 3.B.14, 3.B.23</t>
  </si>
  <si>
    <t xml:space="preserve">3.B.2, 3.B.23</t>
  </si>
  <si>
    <t xml:space="preserve">APT (arbitraje)</t>
  </si>
  <si>
    <t xml:space="preserve">Ross (1976)</t>
  </si>
  <si>
    <t xml:space="preserve">3.B.2, 3.B.13, 3.B.14, 3.B.23</t>
  </si>
  <si>
    <t xml:space="preserve">3.B.23</t>
  </si>
  <si>
    <t xml:space="preserve">Fama-French (1993)</t>
  </si>
  <si>
    <t xml:space="preserve">Valoración de opciones</t>
  </si>
  <si>
    <t xml:space="preserve">Black-Scholes (1973) / Merton (1973)</t>
  </si>
  <si>
    <t xml:space="preserve">3.B.2, 3.B.4, 3.B.25, 3.B.26</t>
  </si>
  <si>
    <t xml:space="preserve">3.B.25</t>
  </si>
  <si>
    <t xml:space="preserve">Binomial (Cox-Ross-Rubinstein 1979)</t>
  </si>
  <si>
    <t xml:space="preserve">Riesgo de crédito estructural</t>
  </si>
  <si>
    <t xml:space="preserve">Merton (1974)</t>
  </si>
  <si>
    <t xml:space="preserve">3.B.26</t>
  </si>
  <si>
    <t xml:space="preserve">Descuento de dividendos / crecimiento constante</t>
  </si>
  <si>
    <t xml:space="preserve">Gordon-Shapiro (1956)</t>
  </si>
  <si>
    <t xml:space="preserve">3.B.2, 3.B.4, 3.B.23</t>
  </si>
  <si>
    <t xml:space="preserve">Descuento de dividendos (Williams 1938)</t>
  </si>
  <si>
    <t xml:space="preserve">Irrelevancia de la estructura financiera</t>
  </si>
  <si>
    <t xml:space="preserve">Modigliani-Miller (1958)</t>
  </si>
  <si>
    <t xml:space="preserve">3.A.3, 3.A.5, 3.A.39, 3.B.2, 3.B.3, 3.B.26, 3.B.27</t>
  </si>
  <si>
    <t xml:space="preserve">Miller (1977)</t>
  </si>
  <si>
    <t xml:space="preserve">Jerarquía financiera (pecking order)</t>
  </si>
  <si>
    <t xml:space="preserve">Myers-Majluf (1984)</t>
  </si>
  <si>
    <t xml:space="preserve">3.A.34, 3.B.3</t>
  </si>
  <si>
    <t xml:space="preserve">Estructura temporal de tipos (modelos de tipo corto)</t>
  </si>
  <si>
    <t xml:space="preserve">Vasicek (1977) / Cox-Ingersoll-Ross (1985)</t>
  </si>
  <si>
    <t xml:space="preserve">Curva de tipos paramétrica</t>
  </si>
  <si>
    <t xml:space="preserve">Nelson-Siegel (1987)</t>
  </si>
  <si>
    <t xml:space="preserve">Svensson (1994)</t>
  </si>
  <si>
    <t xml:space="preserve">Pánicos bancarios</t>
  </si>
  <si>
    <t xml:space="preserve">Diamond-Dybvig (1983)</t>
  </si>
  <si>
    <t xml:space="preserve">Allen-Gale (1998)</t>
  </si>
  <si>
    <t xml:space="preserve">Racionamiento del crédito</t>
  </si>
  <si>
    <t xml:space="preserve">Stiglitz-Weiss (1981)</t>
  </si>
  <si>
    <t xml:space="preserve">3.A.7, 3.B.26</t>
  </si>
  <si>
    <t xml:space="preserve">Inestabilidad financiera</t>
  </si>
  <si>
    <t xml:space="preserve">Minsky (1977)</t>
  </si>
  <si>
    <t xml:space="preserve">3.A.1, 3.A.4, 3.A.42, 3.B.17, 3.B.26, 3.B.27</t>
  </si>
  <si>
    <t xml:space="preserve">3.A.4, 3.B.26</t>
  </si>
  <si>
    <t xml:space="preserve">Cambio climático</t>
  </si>
  <si>
    <t xml:space="preserve">DICE</t>
  </si>
  <si>
    <t xml:space="preserve">Nordhaus (1992)</t>
  </si>
  <si>
    <t xml:space="preserve">3.B.31</t>
  </si>
  <si>
    <t xml:space="preserve">R-DICE / C-DICE; RICE (regional, Nordhaus-Yang 1996)</t>
  </si>
  <si>
    <t xml:space="preserve">PAGE</t>
  </si>
  <si>
    <t xml:space="preserve">Hope (1993)</t>
  </si>
  <si>
    <t xml:space="preserve">Imposición progresiva utilitarista (sacrificio mínimo)</t>
  </si>
  <si>
    <t xml:space="preserve">Edgeworth (1897)</t>
  </si>
  <si>
    <t xml:space="preserve">4.B.10, 4.B.11, 4.B.12</t>
  </si>
  <si>
    <t xml:space="preserve">Búsqueda monetaria</t>
  </si>
  <si>
    <t xml:space="preserve">Kiyotaki-Wright (1989)</t>
  </si>
  <si>
    <t xml:space="preserve">Costes de ajuste (demanda dinámica de factores)</t>
  </si>
  <si>
    <t xml:space="preserve">Oi (1962) / Nickell (1986)</t>
  </si>
  <si>
    <t xml:space="preserve">3.A.26, 3.A.34</t>
  </si>
  <si>
    <t xml:space="preserve">3.A.26</t>
  </si>
  <si>
    <t xml:space="preserve">Programación financiera del FMI</t>
  </si>
  <si>
    <t xml:space="preserve">Polak (1957)</t>
  </si>
  <si>
    <t xml:space="preserve">Enfoque intertemporal de la cuenta corriente</t>
  </si>
  <si>
    <t xml:space="preserve">Sachs (1981) / Obstfeld-Rogoff (1996)</t>
  </si>
  <si>
    <t xml:space="preserve">3.B.11, 3.B.12, 3.B.15, 3.B.29</t>
  </si>
  <si>
    <t xml:space="preserve">3.B.12, 3.B.15</t>
  </si>
  <si>
    <t xml:space="preserve">Chartistas y fundamentalistas (agentes heterogéneos en divisas)</t>
  </si>
  <si>
    <t xml:space="preserve">Frankel-Froot (1990) / De Grauwe-Grimaldi (2006)</t>
  </si>
  <si>
    <t xml:space="preserve">3.A.32, 3.B.13, 3.B.14, 3.B.16</t>
  </si>
  <si>
    <t xml:space="preserve">De Grauwe-Grimaldi (2006)</t>
  </si>
  <si>
    <t xml:space="preserve">3.A.3</t>
  </si>
  <si>
    <t xml:space="preserve">3.A.4</t>
  </si>
  <si>
    <t xml:space="preserve">3.A.8</t>
  </si>
  <si>
    <t xml:space="preserve">3.A.9</t>
  </si>
  <si>
    <t xml:space="preserve">3.A.11</t>
  </si>
  <si>
    <t xml:space="preserve">3.A.17</t>
  </si>
  <si>
    <t xml:space="preserve">3.A.22</t>
  </si>
  <si>
    <t xml:space="preserve">3.A.23</t>
  </si>
  <si>
    <t xml:space="preserve">3.A.24</t>
  </si>
  <si>
    <t xml:space="preserve">3.A.28</t>
  </si>
  <si>
    <t xml:space="preserve">3.A.29</t>
  </si>
  <si>
    <t xml:space="preserve">3.A.30</t>
  </si>
  <si>
    <t xml:space="preserve">3.A.32</t>
  </si>
  <si>
    <t xml:space="preserve">3.A.37</t>
  </si>
  <si>
    <t xml:space="preserve">3.A.38</t>
  </si>
  <si>
    <t xml:space="preserve">3.A.39</t>
  </si>
  <si>
    <t xml:space="preserve">3.A.40</t>
  </si>
  <si>
    <t xml:space="preserve">3.A.42</t>
  </si>
  <si>
    <t xml:space="preserve">3.A.45</t>
  </si>
  <si>
    <t xml:space="preserve">3.B.2</t>
  </si>
  <si>
    <t xml:space="preserve">3.B.4</t>
  </si>
  <si>
    <t xml:space="preserve">3.B.11</t>
  </si>
  <si>
    <t xml:space="preserve">3.B.13</t>
  </si>
  <si>
    <t xml:space="preserve">3.B.15</t>
  </si>
  <si>
    <t xml:space="preserve">3.B.18</t>
  </si>
  <si>
    <t xml:space="preserve">3.B.21</t>
  </si>
  <si>
    <t xml:space="preserve">3.B.27</t>
  </si>
  <si>
    <t xml:space="preserve">3.B.28</t>
  </si>
  <si>
    <t xml:space="preserve">3.B.29</t>
  </si>
  <si>
    <t xml:space="preserve">3.B.32</t>
  </si>
  <si>
    <t xml:space="preserve">3.B.33</t>
  </si>
  <si>
    <t xml:space="preserve">3.B.34</t>
  </si>
  <si>
    <t xml:space="preserve">3.B.35</t>
  </si>
  <si>
    <t xml:space="preserve">3.B.39</t>
  </si>
  <si>
    <t xml:space="preserve">3.B.40</t>
  </si>
  <si>
    <t xml:space="preserve">3.B.43</t>
  </si>
  <si>
    <t xml:space="preserve">3.B.45</t>
  </si>
  <si>
    <t xml:space="preserve">4.B.9</t>
  </si>
  <si>
    <t xml:space="preserve">4.B.12</t>
  </si>
  <si>
    <t xml:space="preserve">4.B.13</t>
  </si>
  <si>
    <t xml:space="preserve">4.B.16</t>
  </si>
  <si>
    <t xml:space="preserve">4.B.19</t>
  </si>
  <si>
    <t xml:space="preserve">4.B.20</t>
  </si>
  <si>
    <t xml:space="preserve">4.B.21</t>
  </si>
  <si>
    <t xml:space="preserve">4.B.25</t>
  </si>
  <si>
    <t xml:space="preserve">M</t>
  </si>
  <si>
    <t xml:space="preserve">T</t>
  </si>
  <si>
    <t xml:space="preserve">D</t>
  </si>
  <si>
    <t xml:space="preserve">Nº modelos en el tema</t>
  </si>
  <si>
    <t xml:space="preserve">Leyenda: D = desarrollado (aparece en un epígrafe o ≥5 menciones) · T = tratado (2–4 menciones) · M = mención única. Heurística, no juicio de calidad.</t>
  </si>
  <si>
    <t xml:space="preserve">Forma detectada</t>
  </si>
  <si>
    <t xml:space="preserve">Tema</t>
  </si>
  <si>
    <t xml:space="preserve">Título del tema</t>
  </si>
  <si>
    <t xml:space="preserve">Nº menciones</t>
  </si>
  <si>
    <t xml:space="preserve">En epígrafe</t>
  </si>
  <si>
    <t xml:space="preserve">Intensidad</t>
  </si>
  <si>
    <t xml:space="preserve">Expresiones encontradas</t>
  </si>
  <si>
    <t xml:space="preserve">Contexto (1er fragmento)</t>
  </si>
  <si>
    <t xml:space="preserve">Original</t>
  </si>
  <si>
    <t xml:space="preserve">Los economistas clásicos y MARX</t>
  </si>
  <si>
    <t xml:space="preserve">Mención</t>
  </si>
  <si>
    <t xml:space="preserve">QUESNAY</t>
  </si>
  <si>
    <t xml:space="preserve">…ir el pensamiento economico de MALTHUS Falta incluir los antecedentes historicos, en particular: fisiocratas (QUESNAY) y mercantilistas (UK) arabic page 1 Introduccion En primer lugar, podriamos preguntarnos porque es important…</t>
  </si>
  <si>
    <t xml:space="preserve">La síntesis neoclásica</t>
  </si>
  <si>
    <t xml:space="preserve">…ntre ellos destacaron otrora los ingleses W. PETTY, GREGORY KING, JEVONS, EDGEWORTH y MARSHALL; los franceses QUESNAY, COURNOT; el suizo DANIEL BERNOULLI; el italiano PARETO; el aleman J.H. VON THUNEN y el norteamericano FISHER…</t>
  </si>
  <si>
    <t xml:space="preserve">Análisis de las tablas Input-Output</t>
  </si>
  <si>
    <t xml:space="preserve">Tratado</t>
  </si>
  <si>
    <t xml:space="preserve">QUESNAY; Quesnay</t>
  </si>
  <si>
    <t xml:space="preserve">…hombres de negocios, habian estudiado cuestiones concretas como los impuestos, el comercio o el dinero, pero QUESNAY, un medico familiarizado con la circulacion de la sangre, avanzo la idea del flujo circular del producto soci…</t>
  </si>
  <si>
    <t xml:space="preserve">Teoría impositiva (VII): Imposición indirecta</t>
  </si>
  <si>
    <t xml:space="preserve">…propio vocabulario no nace con el, sino casi un siglo antes, en la Francia de los fisiocratas. La escuela de QUESNAY, convencida de que la tierra era la unica fuente autentica de riqueza y de que todo el resto de la actividad…</t>
  </si>
  <si>
    <t xml:space="preserve">modelo malthusiano</t>
  </si>
  <si>
    <t xml:space="preserve">…la tesis malthusiana con la doctrina del fondo de salarios se ha denominado ley de hierro de los salarios. El modelo malthusiano ha tenido muchas mas repercusiones de las que nunca imagino su autor. Los naturalistas britanicos CHARLES DAR…</t>
  </si>
  <si>
    <t xml:space="preserve">Los economistas neoclásicos</t>
  </si>
  <si>
    <t xml:space="preserve">Crusoe</t>
  </si>
  <si>
    <t xml:space="preserve">…EWORTH dos mapas completos de curvas de indiferencia, que en este caso se dan en el mundo aislado de Robinson Crusoe y su esclavo Viernes. Estos intercambian dos bienes, pero esos bienes son males para el otro: dinero (Viernes…</t>
  </si>
  <si>
    <t xml:space="preserve">Modelización dinámica de las tomas de decisiones</t>
  </si>
  <si>
    <t xml:space="preserve">CRUSOE</t>
  </si>
  <si>
    <t xml:space="preserve">…os en una isla desierta con suficientes recursos para vivir y para reproducirse. Algo parecido a un modelo de CRUSOE pero con intencion de permanencia y sin posibilidad de salir de esta isla. Cada generacion de individuos tien…</t>
  </si>
  <si>
    <t xml:space="preserve">Teorías de la demanda de dinero</t>
  </si>
  <si>
    <t xml:space="preserve">Objeto y método de la ciencia económica</t>
  </si>
  <si>
    <t xml:space="preserve">VON NEUMANN; teoria de la utilidad esperada</t>
  </si>
  <si>
    <t xml:space="preserve">…s anos 50 en el Modelo ARROW-DEBREU, gracias a los aportes matematicos realizados en los anos 30's por WALD y VON NEUMANN. El documento de KENNETH ARROW y GERARD DEBREU Existence of an Equilibrium for a Competitive Economy , 1954,…</t>
  </si>
  <si>
    <t xml:space="preserve">Von Neumann</t>
  </si>
  <si>
    <t xml:space="preserve">…RGENSTERN presento una esquematizacion rigurosa de una funcion de utilidad ordinal (el teorema de utilidad de Von Neumann-Morgenstern) en Theory of Games and Economic Behavior. Conclusion Recapitulacion Extensiones y relacion con o…</t>
  </si>
  <si>
    <t xml:space="preserve">La nueva economía Keynesiana</t>
  </si>
  <si>
    <t xml:space="preserve">funcion de utilidad esperada</t>
  </si>
  <si>
    <t xml:space="preserve">…banco central con la siguiente forma: La derivara traves de la aproximacion de TAYLOR de segundo orden de la funcion de utilidad esperada del agente representativo de la economia lo que resulta fundamental ya que esta no va a depender de funciones…</t>
  </si>
  <si>
    <t xml:space="preserve">Teoría de la demanda del consumidor (I)</t>
  </si>
  <si>
    <t xml:space="preserve">VON NEUMANN</t>
  </si>
  <si>
    <t xml:space="preserve">…a dualidad no es un teorema, sino un “principio”. Aunque la formalizacion matematica de esta teoria se debe a VON NEUMANN, que realizo grandes contribuciones a la programacion lineal (campo de las matematicas, en concreto del anali…</t>
  </si>
  <si>
    <t xml:space="preserve">Teoría de la demanda del consumidor (III)</t>
  </si>
  <si>
    <t xml:space="preserve">Teoria de la Utilidad Esperada | Ingredientes y obtencion de la funcion de utilidad esperada | Funcion de Utilidad Esperada de VON NEUMANN-MORGENSTERN | No obstante, la Teoria de la Utilidad Esperada no esta exenta de inconvenientes: | Criticas y alternativas a la teoria de la utilidad esperada</t>
  </si>
  <si>
    <t xml:space="preserve">Desarrollado</t>
  </si>
  <si>
    <t xml:space="preserve">VON NEUMANN; teoria de la utilidad esperada; Teoria de la Utilidad Esperada</t>
  </si>
  <si>
    <t xml:space="preserve">…s cuando no se pretende distinguir explicitamente. En cualquier caso, no seria hasta los anos 40, cuando JOHN VON NEUMANN y OSKAR MORGENSTERN publicaran su obra senera “The Theory of Games and Economic Behaviour” (1944) 8 que por p…</t>
  </si>
  <si>
    <t xml:space="preserve">Economía de la información</t>
  </si>
  <si>
    <t xml:space="preserve">teoria de la utilidad esperada; funcion de utilidad esperada; Funcion de Utilidad Esperada</t>
  </si>
  <si>
    <t xml:space="preserve">…ados brutos. ¿Como eligen? &amp; Maximizara su Utilidad Esperada (v.N-M) -- Se comportara segun lo previsto en la teoria de la utilidad esperada, es decir, maximizara su funcion de utilidad v.N-M, E [u(w(x)) - v(e_i)] &amp; Maximizara su Utilidad Esperada (v…</t>
  </si>
  <si>
    <t xml:space="preserve">Teoría de la demanda del consumidor (II)</t>
  </si>
  <si>
    <t xml:space="preserve">…subyace en dicho mercado; Autores como SELLEN, HARSANY, SPENCE o SCHELLING, basandose en las ideas de Nash y Von Neumann y Morgenstern, realizaron multiples contribuciones que permitieron que cualquier aspecto de la competencia im…</t>
  </si>
  <si>
    <t xml:space="preserve">Análisis de mercados (IV)</t>
  </si>
  <si>
    <t xml:space="preserve">von Neumann</t>
  </si>
  <si>
    <t xml:space="preserve">…n como preocupaciones del analisis moderno utilizando las herramientas de la teoria de los juegos. La obra de von Neumann y Morgenstem Theory of Games and Economic Behavior se publico en 1944 y los articulos de Nash sobre juegos no…</t>
  </si>
  <si>
    <t xml:space="preserve">…ctivo; y, Que la funcion de utilidad intertemporal dejaria de ser una funcion ordinal y se convertiria en una funcion de utilidad esperada v.N-M. la Indicando simplemente que infinito equivale a lo suficientemente alejado en el tiempo (recuerdese q…</t>
  </si>
  <si>
    <t xml:space="preserve">Teorías de los ciclos económicos</t>
  </si>
  <si>
    <t xml:space="preserve">teoria de la utilidad esperada</t>
  </si>
  <si>
    <t xml:space="preserve">…las variables endogenas futuras, tanto precios como cantidades, sean estocasticas, lo que obliga a aplicar la teoria de la utilidad esperada. De este modo, los consumidores maximizan la esperanza de sus utilidades futuras, formando dichas expectativa…</t>
  </si>
  <si>
    <t xml:space="preserve">Mercado de divisas</t>
  </si>
  <si>
    <t xml:space="preserve">Teoria de la Utilidad Esperada</t>
  </si>
  <si>
    <t xml:space="preserve">…agentes confrontamos con situaciones de riesgo e incertidumbre no se comportan siguiendo los postulados de la Teoria de la Utilidad Esperada y pueden usar reglas de comportamiento basada en rules of thumb para simplificar la complejidad de la realida…</t>
  </si>
  <si>
    <t xml:space="preserve">Teorías de la determinación del Tipo de Cambio</t>
  </si>
  <si>
    <t xml:space="preserve">…s agentes confrontados a situaciones de riesgo e incertidumbre no se comportan siguiendo los postulados de la Teoria de la Utilidad Esperada y pueden usar reglas de comportamiento basada en rules of thumb para simplificar la complejidad de la realida…</t>
  </si>
  <si>
    <t xml:space="preserve">Múltiples previos / maxmin (Gilboa-Schmeidler)</t>
  </si>
  <si>
    <t xml:space="preserve">multiples-previos; GILBOA</t>
  </si>
  <si>
    <t xml:space="preserve">…babilistica . Existen otros modelos de incertidumbre distintos de los orden-dependientes, como los modelos de multiples-previos ( multiple priors , en especial: WALD, 1950; ARROW y HARWICZ, 1972; SAVAGE, 1954; o, muy utilizado actualment…</t>
  </si>
  <si>
    <t xml:space="preserve">Utilidad subjetiva esperada (Savage)</t>
  </si>
  <si>
    <t xml:space="preserve">Modelo de SAVAGE</t>
  </si>
  <si>
    <t xml:space="preserve">SAVAGE; Savage</t>
  </si>
  <si>
    <t xml:space="preserve">…dad esperada de DANIEL BERNOULLI. En los anos 50 tendria lugar el segundo gran hito. Seria la obra de LEONARD SAVAGE “Foundations of Statistics” (1954), que consiguio derivar la utilidad esperada sin necesidad de imponer la ex…</t>
  </si>
  <si>
    <t xml:space="preserve">KAHNEMAN; TVERSKY</t>
  </si>
  <si>
    <t xml:space="preserve">…plinariedad, la otra cara de la moneda del imperialismo economico. En este campo destacan las aportaciones de KAHNEMAN y THALER. Otras disciplinas, en parte estimuladas por BECKER, como Economia de la salud o Economia de la educ…</t>
  </si>
  <si>
    <t xml:space="preserve">Origenes de la Prospect Theory</t>
  </si>
  <si>
    <t xml:space="preserve">…988 «Por sus contribuciones a la teoria de los mercados y la eficiente utilizacion de los recursos». , DANIEL KAHNEMAN DANIEL KAHNEMAN fue galardonado con el Premio Nobel de Economia en 2002 junto con VERNON SMITH «Por integrar…</t>
  </si>
  <si>
    <t xml:space="preserve">Teorías de la demanda de consumo corriente</t>
  </si>
  <si>
    <t xml:space="preserve">Kahneman; Tversky</t>
  </si>
  <si>
    <t xml:space="preserve">…ado de mecanismos adaptativos para facilitar el ahorro. Esta descomposicion constituye un ejemplo de framing (Kahneman y Tversky, 1984). Mientras que la teoria tradicional asume invariancia al encuadre, el modelo BLC introduce d…</t>
  </si>
  <si>
    <t xml:space="preserve">…Este modelo muestra una fuerte influencia de la economia del comportamiento y de los trabajos de autores como KAHNEMAN, TVERSKY y THALER. Los agentes confrontamos con situaciones de riesgo e incertidumbre no se comportan siguien…</t>
  </si>
  <si>
    <t xml:space="preserve">LAIBSON; Descuento hiperbolico; descuento hiperbolico</t>
  </si>
  <si>
    <t xml:space="preserve">…todos a la vez. Sin embargo, algunas de ellas pueden aceptarse con cierta pretension de generalidad. GABAIX y LAIBSON (2008) proponen siete cualidades cuya presencia es deseable en cualquier modelo economico: No son cualidades…</t>
  </si>
  <si>
    <t xml:space="preserve">Descuento hiperbolico; descuento hiperbolico</t>
  </si>
  <si>
    <t xml:space="preserve">…descontada es tan ampliamente utilizado que no se entra a valorar estas cuestiones. specialblock Importante.- Descuento hiperbolico El descuento exponencial no es compatible con varias regularidades empiricas, en concreto que el factor decre…</t>
  </si>
  <si>
    <t xml:space="preserve">Política Presupuestaria (IV): Sistema de Seguridad Social en España</t>
  </si>
  <si>
    <t xml:space="preserve">descuento cuasi-hiperbolico; LAIBSON; Laibson</t>
  </si>
  <si>
    <t xml:space="preserve">…eflexion, reconocerian como un error. La economia conductual dio a este argumento un fundamento formal con el descuento cuasi-hiperbolico de LAIBSON (1997), que recupera una idea anterior de STROTZ (1955) y PHELPS y POLLAK (1968). En el modelo est…</t>
  </si>
  <si>
    <t xml:space="preserve">La teoría neoclásica del mercado de trabajo</t>
  </si>
  <si>
    <t xml:space="preserve">Modelo de BECKER</t>
  </si>
  <si>
    <t xml:space="preserve">…ividad del trabajador, este podra marcharse a otra empresa que si le pague segun el capital humano adquirido. Modelo de BECKER Siendo la educacion un medio para acumular capital humano que generaria rendimiento futuro, lo primero que de…</t>
  </si>
  <si>
    <t xml:space="preserve">Ocio-Consumo</t>
  </si>
  <si>
    <t xml:space="preserve">…o, menos satisfaccion le proporciona una unidad mas de dinero (seria la base para la formalizacion del Modelo Ocio-Consumo). la Los puntos de equilibrio serian todos aquellos en los que las curvas de indiferencia son tangentes, es d…</t>
  </si>
  <si>
    <t xml:space="preserve">La nueva macroeconomía clásica</t>
  </si>
  <si>
    <t xml:space="preserve">Modelo: Optimizacion intertemporal Ocio-Consumo</t>
  </si>
  <si>
    <t xml:space="preserve">Ocio-Consumo; consumo-ocio</t>
  </si>
  <si>
    <t xml:space="preserve">…vacian de forma continua, con precios y salarios perfectamente flexibles. Modelo: Optimizacion intertemporal Ocio-Consumo Este modelo se diferencia de las Teoria de los Ciclos Nominales en las siguientes caracteristicas: lnum En pr…</t>
  </si>
  <si>
    <t xml:space="preserve">consumo-ocio</t>
  </si>
  <si>
    <t xml:space="preserve">…io nominal relativo entre periodos (uno mas inflacion salarial); y, Condicion de sustitucion intratemporal de consumo-ocio . Igualdad entre la RMS consumo-ocio y el salario real. lnum La curva (log-linearizada) IS queda entonces def…</t>
  </si>
  <si>
    <t xml:space="preserve">Economía del Bienestar (I)</t>
  </si>
  <si>
    <t xml:space="preserve">ocio-consumo</t>
  </si>
  <si>
    <t xml:space="preserve">…miento. La oferta de capital es fija, no obstante, la oferta de trabajo es flexible y depende del problema de ocio-consumo del agente U(X,Y,H) . Tanto el mercado de bienes como de servicios son perfectamente competitivos. Sobre esta…</t>
  </si>
  <si>
    <t xml:space="preserve">ocio-consumo; Consumo-Ocio</t>
  </si>
  <si>
    <t xml:space="preserve">…. lnum En primer lugar, el modelo baseline es el de un enfoque neoclasico, tanto en un marco estatico (modelo ocio-consumo) como en un marco dinamico (germen de los modelos macroeconomicos del ciclo real); En segundo lugar, la teori…</t>
  </si>
  <si>
    <t xml:space="preserve">Ocio-Consumo; ocio-consumo</t>
  </si>
  <si>
    <t xml:space="preserve">…esentativo podemos plantear el siguiente problema de optimizacion (modelo de consumo intertemporal de RAMSEY, Ocio-Consumo): aligned aligned &amp; _ c_t U(0)= _ t=0 ^ ^tu(c_t, z_t _ Ocio ) [0.5em] &amp; s.a. cases (RP anterior) ; ; b_ t-1 (…</t>
  </si>
  <si>
    <t xml:space="preserve">La inflación</t>
  </si>
  <si>
    <t xml:space="preserve">…endo la proteccion/cobertura al desempleo, disminuyendo los impuestos distorsionantes sobre las decisiones de consumo-ocio (IRPF). la Limitaciones: Enfoque Monetario Como vemos, los resultados de estas tres escuelas, consideradas en…</t>
  </si>
  <si>
    <t xml:space="preserve">El pensamiento económico de KEYNES</t>
  </si>
  <si>
    <t xml:space="preserve">competencia monopolistica; CHAMBERLAIN</t>
  </si>
  <si>
    <t xml:space="preserve">…]; (iii) poder de mercado de las grandes corporaciones, con capacidad de influir en los precios. El modelo de competencia monopolistica de CHAMBERLAIN (1933) arrojaba luz sobre este fenomeno [Ver Tema 3.A.18]. En este contexto surgen las princip…</t>
  </si>
  <si>
    <t xml:space="preserve">…LEN Apuntes ICEX-CECO. Tema 3.A.7 AKERLOF y YELLEN (1985) aplican este concepto a un modelo macroeconomico de competencia monopolistica. Suponen que una proporcion de las empresas son cuasiracionales y ante una perturbacion monetaria no se ajust…</t>
  </si>
  <si>
    <t xml:space="preserve">CHAMBERLIN</t>
  </si>
  <si>
    <t xml:space="preserve">…ada tipo sobre la eficiencia (entendida como grado de competencia efectiva)? Antecedentes historicos En 1933, CHAMBERLIN (y ROBINSON, 1933) publico un reconocido articulo en el que resaltaba la importancia de estudiar la estructur…</t>
  </si>
  <si>
    <t xml:space="preserve">Análisis de mercados (II)</t>
  </si>
  <si>
    <t xml:space="preserve">competencia monopolistica</t>
  </si>
  <si>
    <t xml:space="preserve">…do de referencia, lo cual determina la competencia entre ellas: competencia perfecta, monopolio, oligopolio y competencia monopolistica. Por interdependencia estrategica cabe entender la nocion de que cada empresa es consciente de que sus benefi…</t>
  </si>
  <si>
    <t xml:space="preserve">Análisis de mercados (III)</t>
  </si>
  <si>
    <t xml:space="preserve">Competencia monopolistica: rasgos definitorios | Competencia monopolistica: Diferenciacion | Competencia monopolistica: variacion conjentural | Competencia monopolistica: caracterizacion | Productor: Competencia monopolistica</t>
  </si>
  <si>
    <t xml:space="preserve">competencia monopolistica; CHAMBERLAN; Competencia monopolistica</t>
  </si>
  <si>
    <t xml:space="preserve">…la competencia oligopolistica). Se puede anadir para completar DIXIT-STIGLITZ (como previos): SPENCE (1976): competencia monopolistica con eleccion endogena de calidad (calidad como atributo del producto). LANCASTER (1979): enfoque de caracteri…</t>
  </si>
  <si>
    <t xml:space="preserve">…document 1cm IMPORTANTE: La principal diferencia entre competencia monopolistica y competencia en oligopolio es que en la segunda la variacion conjentural NO es nula, por tanto hay siempre u…</t>
  </si>
  <si>
    <t xml:space="preserve">La tasa natural de paro y de la NAIRU</t>
  </si>
  <si>
    <t xml:space="preserve">…nte; y, Empresas de bienes finales . El bien final es producido por un continuo de empresas, en un entorno de competencia monopolistica y utilizan unicamente el bien intermedio como factor de produccion. Se supone que existen rigideces nominales…</t>
  </si>
  <si>
    <t xml:space="preserve">Política Monetaria (II)</t>
  </si>
  <si>
    <t xml:space="preserve">…nales (de precios en este caso, pero tambien extensible a salarios, fijacion a la CALVO ) y rigideces reales (competencia monopolistica) e informacion imperfecta . Se presentan las tres siguiente ecuaciones, que pueden entenderse como las funcio…</t>
  </si>
  <si>
    <t xml:space="preserve">…ia . Los autores sustituyen la curva de PHILLIPS de la NEK-2, en su modelo canonico de dos agentes (TANK) con competencia monopolistica (en este caso, los dos agentes son trabajadores y empresas), por una Curva de PHILLIPS mas general, a la que…</t>
  </si>
  <si>
    <t xml:space="preserve">…racionales de hogares y empresas. No obstante, incorporan tambien rigideces nominales y mercados imprfectos (competencia monopolistica), supuestos que permiten que la transmision de la Politica Monetaria y/o Fiscal sobre los precios de los bien…</t>
  </si>
  <si>
    <t xml:space="preserve">Teorías del crecimiento económico (I)</t>
  </si>
  <si>
    <t xml:space="preserve">…un sistema de proteccion intelectual que sera modelizado a traves del escenario de la competencia imperfecta (competencia monopolistica). Para incorporar la innovacion tecnologica dentro de los programas de optimizacion, la literatura economica…</t>
  </si>
  <si>
    <t xml:space="preserve">Teoría del Comercio Internacional (II)</t>
  </si>
  <si>
    <t xml:space="preserve">…mpresa. Sobre la fase dos, es importante entender la estructura y las condiciones de equilibrio del modelo de competencia monopolistica, para asi estructurar la discusion, por ejemplo, en torno al modelo de Krugman, enfatizando los motivos que d…</t>
  </si>
  <si>
    <t xml:space="preserve">La Política Comercial (I)</t>
  </si>
  <si>
    <t xml:space="preserve">…icion de libre entrada, que se proyecta tanto a nivel operativo como a nivel absoluto. Como en un contexto de competencia monopolistica donde existe un continuo de potenciales entrantes, el beneficio esperado de las firmas debe ser nulo y, en co…</t>
  </si>
  <si>
    <t xml:space="preserve">Teoría de la integración económica</t>
  </si>
  <si>
    <t xml:space="preserve">…consisten en variedades horizontalmente diferenciadas que se producen bajo rendimientos crecientes a escala y competencia monopolistica; (iii) los agricultores son geograficamente inmoviles y estan distribuidos equitativamente entre las dos regi…</t>
  </si>
  <si>
    <t xml:space="preserve">DIXIT y STIGLITZ</t>
  </si>
  <si>
    <t xml:space="preserve">…ien el concepto fue introducido por CHAMBERLAIN (1933), no tuvo una mayor difusion hasta que fue revisado por DIXIT y STIGLITZ en 1977. Desde entonces fue ampliamente usado en modelos de comercio y crecimiento. Los neokeynesianos lo inc…</t>
  </si>
  <si>
    <t xml:space="preserve">Numero de empresas endogeno: Modelo DIXIT-STIGLITZ</t>
  </si>
  <si>
    <t xml:space="preserve">DIXIT-STIGLITZ; DIXIT y STIGLITZ; STlGLITZ; DIXlT</t>
  </si>
  <si>
    <t xml:space="preserve">…COURNOT con diferenciacion (son mas propios de la competencia oligopolistica). Se puede anadir para completar DIXIT-STIGLITZ (como previos): SPENCE (1976): competencia monopolistica con eleccion endogena de calidad (calidad como atrib…</t>
  </si>
  <si>
    <t xml:space="preserve">DIXIT-STIGLITZ</t>
  </si>
  <si>
    <t xml:space="preserve">…pendencia estrategica debil o despersonalizada: existe competencia, pero no rivalidad estrategica directa. En DIXIT-STIGLITZ, por ejemplo, una empresa sabe que bajar su precio aumenta su demanda, pero no internaliza que ese cambio alt…</t>
  </si>
  <si>
    <t xml:space="preserve">Regulación y Poder de mercado</t>
  </si>
  <si>
    <t xml:space="preserve">Dixit y Stiglitz</t>
  </si>
  <si>
    <t xml:space="preserve">…elos actuales de equilibrio general dinamico y estocastico (DSGE), con la introduccion de la formulacion a la Dixit y Stiglitz. El Fondo Monetario Internacional, en el World Economic Outlook (2019) dedico un capitulo a las consecuencias…</t>
  </si>
  <si>
    <t xml:space="preserve">…a Eficiencia y el Bienestar Partimos de los siguientes supuestos: (i) existe un continuo de variedades i a la DIXIT-STIGLITZ, por lo tanto los mercados son imperfectos, existe competencia monopolitisca en variedades; (ii) cada varieda…</t>
  </si>
  <si>
    <t xml:space="preserve">…rda con la Teoria dominante y la evidencia empirica) al modelo pues al tratarse de bienes diferenciados (a la DIXIT-STIGLITZ), i.e. aunque existan muchas empresas estas tendran poder de mercado para fijar precios. Por otro lado, su re…</t>
  </si>
  <si>
    <t xml:space="preserve">…nsumidor? Este es un concepto tremendamente innovador de la modelizacion de la competencia monopolistica a la DIXIT-STIGLITZ. Como vemos, el problema dual del consumidor nos proporciona un indice de precios que, conceptualmente, nos i…</t>
  </si>
  <si>
    <t xml:space="preserve">Numero de empresas fijo: diferenciacion en COURNOT y BERTRAND</t>
  </si>
  <si>
    <t xml:space="preserve">Bertrand y Cournot; COURNOT y BERTRAND; Modelos de COURNOT; modelo de Cournot</t>
  </si>
  <si>
    <t xml:space="preserve">…acional, macroeconomia). INTRODUCIR AQUI UN EJEMPLO DE LAS MARCAS DE AGUA El enfoque de producto (Chamberlin, Bertrand y Cournot con diferenciacion, y formalmente Dixit-Stiglitz) concibe la competencia monopolistica como un equilibrio en…</t>
  </si>
  <si>
    <t xml:space="preserve">modelo de COURNOT; Bertrand y Cournot; competencia a la COURNOT; equilibrio de COURNOT; COURNOT (1838)</t>
  </si>
  <si>
    <t xml:space="preserve">…libre decision absoluta!! Hacer mucho enfasis en esto!! red OJO! Se puede incluir la Paradoja de COURNOT : El modelo de COURNOT asume lo que se conoce como variacion conjetural nula, pero esto es inconsistente con los resultados obtenido…</t>
  </si>
  <si>
    <t xml:space="preserve">KREPS-SCHEINKMAN; KREPS-SCHEIKMAN</t>
  </si>
  <si>
    <t xml:space="preserve">…demanda, los precios de equilibrio exhibiran un comportamiento ciclico (ciclos de EDGEWORTH). la El modelo de KREPS-SCHEINKMAN (dinamico) permite aunar, bajo determinados supuestos, el realismo de la premisa de la competencia en precios…</t>
  </si>
  <si>
    <t xml:space="preserve">Bertrand y Cournot; COURNOT y BERTRAND; Modelos de COURNOT y BERTRAND; Equilibrio Bertrand; Modelo de BERTRAND</t>
  </si>
  <si>
    <t xml:space="preserve">Paradoja de BERTRAND; Bertrand y Cournot; competencia a la BERTRAND; precios mas bajos en BERTRAND; paradoja de BERTRAND</t>
  </si>
  <si>
    <t xml:space="preserve">…consistente con el comportamiento observada y, precisamente, esto nos lleva a la conclusion equivalente a la Paradoja de BERTRAND : con bienes homogeneos y competencia en cantidades, la unica conjentura consistente es _i=-1 : solo cuando l…</t>
  </si>
  <si>
    <t xml:space="preserve">ciclos de EDGEWORTH; ciclos de Edgeworth; CICLOS DE EDGEWORTH; Bertrand y Edgeworth; duopolio de Edgeworth</t>
  </si>
  <si>
    <t xml:space="preserve">…ientes a escala y racionamiento de la demanda, los precios de equilibrio exhibiran un comportamiento ciclico (ciclos de EDGEWORTH). la El modelo de KREPS-SCHEINKMAN (dinamico) permite aunar, bajo determinados supuestos, el realismo de la p…</t>
  </si>
  <si>
    <t xml:space="preserve">Juegos secuenciales: STACKLEBERG</t>
  </si>
  <si>
    <t xml:space="preserve">Stackelberg; STACKELBERG; STACKLEBERG</t>
  </si>
  <si>
    <t xml:space="preserve">…al, regulacion, economia digital). En primer lugar, los modelos clasicos no cooperativos: Cournot, Bertrand y Stackelberg. En segundo lugar, estan los modelos de oligopolio con diferenciacion de producto, que amplian Bertrand y Cou…</t>
  </si>
  <si>
    <t xml:space="preserve">La Política Comercial (II)</t>
  </si>
  <si>
    <t xml:space="preserve">STACKELBERG</t>
  </si>
  <si>
    <t xml:space="preserve">…us no tendra incentivos para entrar y Boeing acabara obteniendo todas las rentas del proyecto (en el juego de STACKELBERG, maximiza sus beneficios a expensas de la seguidora). El resultado se situara en la parte superior derecha de…</t>
  </si>
  <si>
    <t xml:space="preserve">Teoría de la integración monetaria</t>
  </si>
  <si>
    <t xml:space="preserve">…. Esta curva puede interpretarse como la funcion de reaccion del gobierno. El sindicato actua como lider tipo STACKELBERG. Como podemos ver, la curva del pais B es mas inclinada reflejando una mayor disposicion de las autoridades a…</t>
  </si>
  <si>
    <t xml:space="preserve">Numero de empresas fijo: Modelo ciudad lineal</t>
  </si>
  <si>
    <t xml:space="preserve">modelo de ciudad lineal de HOTELLING; Modelo de HOTELLING; ciudad lineal; Ciudad lineal; CIUDAD LINEAL</t>
  </si>
  <si>
    <t xml:space="preserve">…lasticidad de sustitucion. 3.2.1. Diferenciacion horizontal en el Modelo de BERTRAND Una de las variantes del modelo de ciudad lineal de HOTELLING, que trataremos mas en profundidad en el siguiente apartado relativo a los Modelos Espaciales, proporciona un…</t>
  </si>
  <si>
    <t xml:space="preserve">modelos lineales tipo Hotelling; modelo del segmento de Hotelling</t>
  </si>
  <si>
    <t xml:space="preserve">…acion de producto, que amplian Bertrand y Cournot introduciendo preferencias diferenciadas. Aqui destacan los modelos lineales tipo Hotelling y, mas modernamente, los modelos de demanda discreta (logit y nested logit). Un tercer bloque clave lo consti…</t>
  </si>
  <si>
    <t xml:space="preserve">Ciudad circular (Salop 1979)</t>
  </si>
  <si>
    <t xml:space="preserve">SALOP</t>
  </si>
  <si>
    <t xml:space="preserve">…dis, (1975); (ii) Ajuste de salarios escalonados (FISCHER, 1977, TAYLOR, 1979); (iii) Salarios de eficiencia (SALOP, 1979, SHAPIRO y STIGLITZ, 1984); y (iv) Costes de menu (MANKIW, 1985, AKERLOF y YELLEN, 1985). Sin embargo,…</t>
  </si>
  <si>
    <t xml:space="preserve">Numero de empresas endogeno: Modelo ciudad circular</t>
  </si>
  <si>
    <t xml:space="preserve">SALOP; Ciudad Circular; ciudad circular; Salop</t>
  </si>
  <si>
    <t xml:space="preserve">…ien diferenciado) y deduce el comportamiento agregado a partir de motivos individuales (HART, 1985; PERLOFF y SALOP, 1985). Indpendientemente de la rama, la mayoria de los modelos han empleado alguna variante del supuesto de…</t>
  </si>
  <si>
    <t xml:space="preserve">Competencia espacial política (Hotelling-Downs)</t>
  </si>
  <si>
    <t xml:space="preserve">HOTELLING-DOWNS; DOWNS-HOTELLING</t>
  </si>
  <si>
    <t xml:space="preserve">…lo que tambien ha sido empleado en otros campos de la economia como la economia publica (recuerdese el modelo HOTELLING-DOWNS) y la geografia economica. Este modelo parte de un segmento lineal cuya longitud normalizamos a 1 , en el que…</t>
  </si>
  <si>
    <t xml:space="preserve">Análisis de mercados (I)</t>
  </si>
  <si>
    <t xml:space="preserve">Telarana; telarana; Cobweb</t>
  </si>
  <si>
    <t xml:space="preserve">…er. 1cm Ultima modificacion: 11/02/2026 [...] Introducir (al final) como extension posible: lnum Modelo de la Telarana (equilibrios secuenciales), dinamicas de ajuste al largo plazo; red Esta en el ANEXO red Deseconomias de esca…</t>
  </si>
  <si>
    <t xml:space="preserve">SYLOS-LABINI; modelo de Precio Limite</t>
  </si>
  <si>
    <t xml:space="preserve">…: Precio limite El modelo mas famoso de barreras de entrada estrategicas es el de precios limite (BAIN, 1956; SYLOS-LABINI, 1962; MODIGLIANI, 1958), cuya idea principal es que, bajo ciertas condiciones, la empresa incumbente puede s…</t>
  </si>
  <si>
    <t xml:space="preserve">MILGROM y ROBERTS</t>
  </si>
  <si>
    <t xml:space="preserve">…bajos. Este argumento fue objeto de controversia hasta que SPENCE (1977) y DIXIT (1979, 1980), por un lado, y MILGROM y ROBERTS (1982), por otro, clarificaron sus rasgos subyacentes: En terminos generales, la reformulacion debida a SPENC…</t>
  </si>
  <si>
    <t xml:space="preserve">mercados contestables</t>
  </si>
  <si>
    <t xml:space="preserve">…document Se debe hacer hincapie tanto en la economia de los costes de transaccion como en la teoria de los mercados contestables de Baumol. A pesar de que el titulo haga una referencia explicita a las "barreras de entrada", dicha referenc…</t>
  </si>
  <si>
    <t xml:space="preserve">Empresa Pública</t>
  </si>
  <si>
    <t xml:space="preserve">Baumol, Panzar</t>
  </si>
  <si>
    <t xml:space="preserve">…s competidoras. La formalizacion moderna de esta condicion -la llamada **subaditividad de costes**- se debe a Baumol, Panzar y Willig (*Contestable Markets and the Theory of Industry Structure*, 1982), que ademas introdujeron un matiz…</t>
  </si>
  <si>
    <t xml:space="preserve">maximizacion de ventas</t>
  </si>
  <si>
    <t xml:space="preserve">…italism”; GALBRAIGHT (1952-67): “American Capitalism”, “The New Industrial State” la BAUMOL (1959). Modelo de maximizacion de ventas. Los directivos buscan maximizar las ventas en vez de los beneficios, dado que los sueldos, la imagen de la e…</t>
  </si>
  <si>
    <t xml:space="preserve">MARRIS; maximizacion del crecimiento</t>
  </si>
  <si>
    <t xml:space="preserve">…(1959): “Business Behavior, Value and Growth”; WILLIAMSON (1964): “The Economics of Discretionary Behavior”; MARRIS (1964): “The Economic Theory of Managerial Capitalism”; GALBRAIGHT (1952-67): “American Capitalism”, “The New…</t>
  </si>
  <si>
    <t xml:space="preserve">preferencia por el gasto</t>
  </si>
  <si>
    <t xml:space="preserve">…, los analisis financieros y estrategico dependen de la evolucion de las ventas; WILLIAMSON (1964). Modelo de preferencia por el gasto. Los Agentes emprenden politicas que maximicen su propia utilidad que son variables ligadas al nivel de gasto…</t>
  </si>
  <si>
    <t xml:space="preserve">El Modelo Principal-Agente</t>
  </si>
  <si>
    <t xml:space="preserve">Principal-Agente</t>
  </si>
  <si>
    <t xml:space="preserve">…cion imperfecta, aunque el proceso de negociacion habitualmente permite usar un sencillo artilugio, el modelo Principal-Agente, que se explicara a continuacion. Se trata de juegos bayesianos, en los que los participantes tienen unas cre…</t>
  </si>
  <si>
    <t xml:space="preserve">principal-agente; Principal-Agente</t>
  </si>
  <si>
    <t xml:space="preserve">…rias son: la La empresa como nexo de contratos: ALCHIAN-DEMSETZ (1972); JENSEN-MECKLING (1976); La teoria del principal-agente o teoria de la agencia: HOLMSTRON-MILGROM (1994). la En el otro grupo de teorias contractuales, las partes so…</t>
  </si>
  <si>
    <t xml:space="preserve">Economía del Bienestar (II)</t>
  </si>
  <si>
    <t xml:space="preserve">…, etc; con frecuencia nos encontraremos con que la informacion es asimetrica, y pueden generarse problemas de principal-agente que nos llevan de lleno a la teoria de la agencia, y que implican la necesidad de establecer incentivos adecu…</t>
  </si>
  <si>
    <t xml:space="preserve">Determinación de salarios</t>
  </si>
  <si>
    <t xml:space="preserve">…una variable endogena que afecte positivamente a la empresa y enegativamente al empleado (recordar modelos de Principal-Agente en el marco de la Economia de la Informacion [ Ver Tema 3.A.10 ]); y, (ii) existe una relacion positiva entre…</t>
  </si>
  <si>
    <t xml:space="preserve">…nito con las particularidades/caracteristicas de un modelo propio de la Economia de la Informacion: el modelo Principal-Agente . A partir de esta metodologia, los autores plantean la existencia de un agente Planificador y un agente Ejec…</t>
  </si>
  <si>
    <t xml:space="preserve">Teorías de la inversión en bienes de equipo</t>
  </si>
  <si>
    <t xml:space="preserve">…a mas sencilla de concebir esta estructura no lineal de los costes de financiacion es a traves de los modelos Principal-Agente: cuando existe informacion asimetrica, la inversion no solo depende de los tipos de interes y de la rentabili…</t>
  </si>
  <si>
    <t xml:space="preserve">La empresa y las decisiones de financiación</t>
  </si>
  <si>
    <t xml:space="preserve">…ya que: (i) pueden emerger problemas de desalineamiento de incentivos, suponiendo mayores costes de agencia (Principal-Agente, JENSEN (1986)); y, (ii) pueden ser claramente insuficiente para proyectos en crecimiento. Financiacion exter…</t>
  </si>
  <si>
    <t xml:space="preserve">Teoría impositiva (VIII): Teoría del federalismo fiscal</t>
  </si>
  <si>
    <t xml:space="preserve">principal-agente</t>
  </si>
  <si>
    <t xml:space="preserve">…n de las haciendas territoriales. Podemos mencionar aqui el trabajo de Levaggi de 2002, basado en el problema principal-agente. LEVAGGI considera que el gobierno central es el principal, y que los gobiernos locales son agentes. Supone q…</t>
  </si>
  <si>
    <t xml:space="preserve">Holmström (1979, riesgo moral)</t>
  </si>
  <si>
    <t xml:space="preserve">HOLMSTROM</t>
  </si>
  <si>
    <t xml:space="preserve">…(first-order approach), consistente en sustituir esta restriccion problema por su condicion de primer orden (HOLMSTROM, 1979). Ver: BENGT HOLMSTROM (1979). Moral Hazard and Observability. The Bell Journal of Economics, 10(1), 74…</t>
  </si>
  <si>
    <t xml:space="preserve">HOLMSTRON; HOLMSTROM</t>
  </si>
  <si>
    <t xml:space="preserve">…ratos: ALCHIAN-DEMSETZ (1972); JENSEN-MECKLING (1976); La teoria del principal-agente o teoria de la agencia: HOLMSTRON-MILGROM (1994). la En el otro grupo de teorias contractuales, las partes solo pueden realizar contratos incom…</t>
  </si>
  <si>
    <t xml:space="preserve">Crisis financieras y pánicos bancarios</t>
  </si>
  <si>
    <t xml:space="preserve">…racionamiento de credito o incluso a no conceder ningun prestamo. Por su parte, el riesgo moral ilustrado por HOLMSTROM y TIROLE (1997) provoca que el agente (prestatario) tenga incentivos a invertir en proyectos arriesgados en l…</t>
  </si>
  <si>
    <t xml:space="preserve">Regulación financiera y no-bancaria</t>
  </si>
  <si>
    <t xml:space="preserve">…s conflictos de intereses por otro. Puede comprobar el opositor que la Contract Theory de autores como HART y HOLMSTROM o la Teoria de los Costes de Transaccion de COASE o WILLIAMSON podrian emplearse como marco analitico para de…</t>
  </si>
  <si>
    <t xml:space="preserve">Jensen-Meckling (1976, costes de agencia)</t>
  </si>
  <si>
    <t xml:space="preserve">JENSEN-MECKLING; JENSEN y MECKLING</t>
  </si>
  <si>
    <t xml:space="preserve">…uras en el momento presente. Tales teorias son: la La empresa como nexo de contratos: ALCHIAN-DEMSETZ (1972); JENSEN-MECKLING (1976); La teoria del principal-agente o teoria de la agencia: HOLMSTRON-MILGROM (1994). la En el otro grupo…</t>
  </si>
  <si>
    <t xml:space="preserve">Jensen y Meckling</t>
  </si>
  <si>
    <t xml:space="preserve">…y la ausencia de mecanismos de mercado [Seguro] La formalizacion moderna del problema de agencia se debe a **Jensen y Meckling** (1976, "Theory of the Firm: Managerial Behavior, Agency Costs, and Ownership Structure", *Journal of Financ…</t>
  </si>
  <si>
    <t xml:space="preserve">AKERLOF</t>
  </si>
  <si>
    <t xml:space="preserve">…ES y ATKINSON. Economia de la informacion: Desarrollada a partir de la decada de 1970 con las aportaciones de AKERLOF [ver tema 3.A.13]. Economia del mercado de trabajo. Estudiado por distintos autores, desde MARSHALL y PIGOU o…</t>
  </si>
  <si>
    <t xml:space="preserve">Modelo de Racionalidad Incompleta: AKERLOFF-YELLEN</t>
  </si>
  <si>
    <t xml:space="preserve">…(rigidez nominal), la perdida social sera mayor que la perdida individual. Modelo de Racionalidad Incompleta: AKERLOFF-YELLEN Otra aportacion muy relevante en el campo de las rigideces nominales agregadas es el presentado por A…</t>
  </si>
  <si>
    <t xml:space="preserve">…ca o distintiva en una determinada situacion se vuelve saliente. En economua del comportamiento, autores como AKERLOF y KRANTON (2000) incorporan este fenomeno al analisis economico. Estos llaman “identidad”a esa autoimagen con…</t>
  </si>
  <si>
    <t xml:space="preserve">AKERLOFF: mercado de coches de segunda mano</t>
  </si>
  <si>
    <t xml:space="preserve">AKERLOF; lemons</t>
  </si>
  <si>
    <t xml:space="preserve">…la literatura especializada, ciertos autores como MAS-COLELL, WINSTON y GREEN (1995) o el analisis seminal de AKERLOF prefieren reservar el termino “seleccion adversa” para referirse al problema o resultado de la asimetria info…</t>
  </si>
  <si>
    <t xml:space="preserve">…do, elevar el salario implica quedarse con trabajadores de mayor calidad. lnum Existen tambien otros motivos, AKERLOF, como evitar la venganza, la busqueda de sabotaje o la deslealtad derivados de un salario real considerado de…</t>
  </si>
  <si>
    <t xml:space="preserve">…gario conduce a una caida autocumplida de la actividad economica. Predominan los animal spirits (KEYNES 1936; AKERLOF y SHILLER 2009; DE GRAUWE 2012). Mientras estos movimientos en los animal spirits esten sincronizados entre l…</t>
  </si>
  <si>
    <t xml:space="preserve">…saccion financiera se produzca -dando lugar a problemas de seleccion adversa, modelizados por primera vez por AKERLOF (1970)- o despues de que la transaccion financiera se produzca -dando lugar a problemas de riesgo moral, pres…</t>
  </si>
  <si>
    <t xml:space="preserve">Teoría impositiva (IV): Imposición y oferta</t>
  </si>
  <si>
    <t xml:space="preserve">Akerlof</t>
  </si>
  <si>
    <t xml:space="preserve">…te desincentivo sobre la progresion salarial o la inversion en capital humano. En tercer 1 ugar, autores como Akerlof ( 1978), Parsons ( 1996), Bes ley and Coa tes ( 1992) destacan la necesidad de focalizar estas medidas en col…</t>
  </si>
  <si>
    <t xml:space="preserve">Teoría impositiva (VI): Imposición directa</t>
  </si>
  <si>
    <t xml:space="preserve">…licado ahora al donante particular en lugar de al comprador de un bien de segunda mano, que ya trabajamos con Akerlof en el Bloque 2 del Tema 15-. [Seguro] Cierro este subapartado con la cuestion de forma juridica -reduccion de…</t>
  </si>
  <si>
    <t xml:space="preserve">Akerlof; limones; Lemons</t>
  </si>
  <si>
    <t xml:space="preserve">…todos ellos son, en el fondo, **respuestas distintas al mismo problema de informacion asimetrica** que George Akerlof formalizo en su articulo fundacional sobre el mercado de "limones" (1970, "The Market for Mechanisms", *Quart…</t>
  </si>
  <si>
    <t xml:space="preserve">AKERLOF; Akerlof; Lemons</t>
  </si>
  <si>
    <t xml:space="preserve">…decir, el riesgo de vivir mas de lo esperado y agotar los ahorros. El punto de partida es el celebre art. de AKERLOF (1970) sobre el mercado de coches usados, pero la formulacion decisiva para el seguro es la de ROTHSCHILD y S…</t>
  </si>
  <si>
    <t xml:space="preserve">ROTHSCHILD y STIGLITZ; ROTSCHILD y STIGLITZ</t>
  </si>
  <si>
    <t xml:space="preserve">…a mas simple y mas intuitivo la demanda de seguros, que tambien es un paso previo al desarrollo del modelo de ROTHSCHILD y STIGLITZ del Tema 3.A.13] Vista la herramienta basica, es necesario estudiar la aplicacion de la utilidad esperada a p…</t>
  </si>
  <si>
    <t xml:space="preserve">Ejemplo.- Modelo de ROTSCHILD-STIGLIZ</t>
  </si>
  <si>
    <t xml:space="preserve">ROTSCHILD y STIGLITZ; ROTHSCHILD y STIGLITZ; ROTSCHILD-STIGLIZ</t>
  </si>
  <si>
    <t xml:space="preserve">…ive screening, el problema de asignacion de contratos se formula buscando un menu de contratos que satisfaga (ROTSCHILD y STIGLITZ, 1976): (i) restriccion de participacion; (ii) restriccion de compatibilidad de incentivos; y, (iii) restricc…</t>
  </si>
  <si>
    <t xml:space="preserve">ROTHSCHILD y STIGLITZ; Rothschild y Stiglitz</t>
  </si>
  <si>
    <t xml:space="preserve">…rt. de AKERLOF (1970) sobre el mercado de coches usados, pero la formulacion decisiva para el seguro es la de ROTHSCHILD y STIGLITZ (1976). Cuando el asegurado conoce su propio riesgo mejor que la aseguradora y esta no puede distinguir a los…</t>
  </si>
  <si>
    <t xml:space="preserve">Modelos de seleccion adversa: signalling</t>
  </si>
  <si>
    <t xml:space="preserve">signalling; SPENCE (1973); SPENCE, 1973) La senalizacion</t>
  </si>
  <si>
    <t xml:space="preserve">…previa a la firma del contrato, se dan los casos de seleccion adversa o filtrado (screening) y senalizacion (signalling). En ambos casos son problemas de informacion oculta; Aunque esta terminologia es comun en la literatura espe…</t>
  </si>
  <si>
    <t xml:space="preserve">SPENCE, defiende que la educacion es un ejercicio de senalizacion; SPENCE (1973)</t>
  </si>
  <si>
    <t xml:space="preserve">…ctividad del trabajador que va a contratar lnum Educacion como filtro . Desarrollada en el trabajo seminal de SPENCE, defiende que la educacion es un ejercicio de senalizacion en un marco de informacion asimetrica. [ Ver Tema 3.A.13 ] Las empresas, antes de contratar a un trabajador,…</t>
  </si>
  <si>
    <t xml:space="preserve">ARROW-DEBREU</t>
  </si>
  <si>
    <t xml:space="preserve">…La concepcion del dinero en el equilibrio general walrasiano fue conceptualizada en los anos 50 en el Modelo ARROW-DEBREU, gracias a los aportes matematicos realizados en los anos 30's por WALD y VON NEUMANN. El documento de KENNET…</t>
  </si>
  <si>
    <t xml:space="preserve">modelo walrasiano</t>
  </si>
  <si>
    <t xml:space="preserve">…emanda agregada a raiz de este nuevo enfoque: se empezo por buscar la explicacion en grandes desviaciones del modelo walrasiano, en vez de buscar grandes efectos de pequenas desviaciones. Hay dos vias alternativas/complementarias para ex…</t>
  </si>
  <si>
    <t xml:space="preserve">ARROW-DEBREU; Arrow-Debreu; ARROW y DEBREU</t>
  </si>
  <si>
    <t xml:space="preserve">…sarrollaron los pilares en los que sostendrian posteriormente las finanzas modernas, el equilibrio general de ARROW-DEBREU o la modelizacion de fenomenos como la seleccion adversa o el riesgo moral. Ingredientes y obtencion de la fu…</t>
  </si>
  <si>
    <t xml:space="preserve">La Teoría del Equilibrio General</t>
  </si>
  <si>
    <t xml:space="preserve">Arrow-Debreu; ARROW-DEBREU; modelo walrasiano; modelo de equilibrio walrasiano</t>
  </si>
  <si>
    <t xml:space="preserve">…ria del equilibrio general. Aqui se introducen y estudian los conceptos de bienes contingentes, equilibrio de Arrow-Debreu, comercio secuencial (en un entorno de dos periodos), equilibrio de Radner, arbitraje, equilibrio con expecta…</t>
  </si>
  <si>
    <t xml:space="preserve">ARROW y DEBREU</t>
  </si>
  <si>
    <t xml:space="preserve">…llados por el economista de origen ruso ABBA LERNER , pionero del keynesianismo, aunque serian posteriormente ARROW y DEBREU quienes desarrollen formalmente los mismos. Contextualizacion Relevancia En esta exposicion analizaremos aque…</t>
  </si>
  <si>
    <t xml:space="preserve">Economía del Bienestar (III)</t>
  </si>
  <si>
    <t xml:space="preserve">…llados por el economista de origen ruso ABBA LERNER , pionero del keynesianismo, aunque serian posteriormente ARROW y DEBREU quienes desarrollen formalmente los mismos. Contextualizacion Caracteristicas basicas Una caracteristica dife…</t>
  </si>
  <si>
    <t xml:space="preserve">…nes contractuales a largo plazo entre trabajadores y empresas, lo que constituye otra de las desviaciones del modelo walrasiano de mercado de trabajo. El primer autor en plantear esta posibilidad fue LAZEAR (1979), que observo la existen…</t>
  </si>
  <si>
    <t xml:space="preserve">modelos de equilibrio general walrasiano</t>
  </si>
  <si>
    <t xml:space="preserve">…ad, sobre todo cuando la ambicion llevo a modelizar el conjunto de una economia, esto es, a intentar utilizar modelos de equilibrio general walrasiano (donde interactuan una pluralidad (diversa) de consumidores y empresas en multiples mercados de manera simult…</t>
  </si>
  <si>
    <t xml:space="preserve">…, sus consecuencia/implicaciones en terminos de Politica Economico son desoladoras. En efecto, al utilizar un modelo walrasiano (sin ningun tipo de imperfeccion ni fricciones) y sin heterogeneidad de agentes (es de agente representativo)…</t>
  </si>
  <si>
    <t xml:space="preserve">Patinkin</t>
  </si>
  <si>
    <t xml:space="preserve">…o de cambio, sin afectar a las variables reales, como el empleo, el producto interno bruto real o el consumo. Patinkin, Don (1987), Neutrality of Money Acotaremos el debate a solo dos de estas escuelas, RAVIER (2010), La no-neut…</t>
  </si>
  <si>
    <t xml:space="preserve">…rvados de periodos anteriores; y, Equilibrio parcial y criterio ceteris paribus . Aunque algunos autores como Patinkin habian tratado de entender los modelos de la SNC como modelos de equilibrio general, e incluso intentaron car…</t>
  </si>
  <si>
    <t xml:space="preserve">patinkin; PATINKIN</t>
  </si>
  <si>
    <t xml:space="preserve">…d de comerciar bienes contingentes lleva en el equilibrio a un reparto eficiente del riesgo. En el enfoque de patinkin, que introduce dinero en el modelo de equilibrio general, cambios en la cantidad de dinero circulando en la e…</t>
  </si>
  <si>
    <t xml:space="preserve">LEONTIEF (19; Input-Output</t>
  </si>
  <si>
    <t xml:space="preserve">…tigacion =1- , estimando una distribucion de ingresos de 1/3 para el capital ( ) y 2/3 para el salario ( ). y LEONTIEF (1906-1999) Profesor de Harvard, con sus estudios de las tablas sectoriales Input-Output, no puede dejar de menci…</t>
  </si>
  <si>
    <t xml:space="preserve">Teoría de la Producción (I)</t>
  </si>
  <si>
    <t xml:space="preserve">input-output; Input-Output</t>
  </si>
  <si>
    <t xml:space="preserve">…oduccion. Conjunto vectorial: vectores neputs Axiomas sobre combinaciones posibles en el conjunto de vectores input-output (vectores netputs). MAS-COLELL y SEGURA coinciden en definir los siguientes axiomas: lnum No vacio . Debe hab…</t>
  </si>
  <si>
    <t xml:space="preserve">Magnitudes macroeconómicas y contabilidad nacional</t>
  </si>
  <si>
    <t xml:space="preserve">Input-Output; input-output</t>
  </si>
  <si>
    <t xml:space="preserve">…que se describen dos conjuntos principales de cuentas: lnum Las cuentas del sector institucional; El analisis Input-Output y las cuentas por ramas de actividad [ver tema 3.A.31]. lnum En esta exposicion, nos centraremos en las cuent…</t>
  </si>
  <si>
    <t xml:space="preserve">input-output</t>
  </si>
  <si>
    <t xml:space="preserve">…disponibles para la exposicion del tema) consiste en la descripcion detallada de la estructura de las tablas input-output. El segundo bloque consiste en describir una serie de herramientas de simulacion que pueden obtenerse cuando…</t>
  </si>
  <si>
    <t xml:space="preserve">Comercio internacional y crecimiento económico</t>
  </si>
  <si>
    <t xml:space="preserve">Input-Output</t>
  </si>
  <si>
    <t xml:space="preserve">…e esta descomposicion? Implicaciones de Politica Economica En terminos de Politica Economica, la aproximacion Input-Output ha arrojado luz sobre algunos conceptos muy mal comprendidos, tanto alentadores como desoladores. En primer l…</t>
  </si>
  <si>
    <t xml:space="preserve">Nueva globalización económica y financiera</t>
  </si>
  <si>
    <t xml:space="preserve">…oductos crucen las fronteras en varias ocasiones antes de obtener el producto final. La publicacion de tablas input-output globales ha servido de base para la elaboracion de estadisticas de comercio en valor anadido, que permiten ev…</t>
  </si>
  <si>
    <t xml:space="preserve">Perspectivas económicas mundiales</t>
  </si>
  <si>
    <t xml:space="preserve">…ido y las exportaciones de un pais es debido a las filiales de empresas extranjeras, (ii) divide las matrices input-output entre empresas propiedad de nacionales y de residentes, (iii) y permite un analisis de la produccion de las e…</t>
  </si>
  <si>
    <t xml:space="preserve">equilibrio general aplicados; Equilibrio General Computable; equilibrio general Computable</t>
  </si>
  <si>
    <t xml:space="preserve">…ilibirum with incomplete asset's markets. GEANAKOPLOS (1989) Simulacion de Politicas Publicas: los modelos de equilibrio general aplicados GOMEZ-PLANA (2002) lnum red OJO -&gt; Convendria incluir la critica (o al menos lo que comenta) PICKETTY en el l…</t>
  </si>
  <si>
    <t xml:space="preserve">Modelog de EGC</t>
  </si>
  <si>
    <t xml:space="preserve">…para intentar demostrar la validez de estos resultados, tanto a traves de estudios empiricos como a traves de Modelog de EGC, introduciendo parametros estrictamente relacionados con la apertura internacional de un pais. Sin embargo, l…</t>
  </si>
  <si>
    <t xml:space="preserve">Modelos de EGC; Equilibrio General Computable; CGE</t>
  </si>
  <si>
    <t xml:space="preserve">…11,4 al 3,5 . En todos los casos y con menor o mayor magnitud, encontrariamos evidencia del sesgo geografico. Modelos de EGC Los modelos de Equilibrio General Computable, posteriores a los modelos gravitatorios, con los mas populares…</t>
  </si>
  <si>
    <t xml:space="preserve">DEA; Data Envelopment</t>
  </si>
  <si>
    <t xml:space="preserve">…era de Produccion [ Ver Tema 3.A.12 ]: DEA_Estimations.png Comparacion entre (a) la expansion radial y (b) la DEA basada en holguras. On the Use of Data Envelopment Analysis for Multi-Criteria Decision Analysis . PASCOE (20…</t>
  </si>
  <si>
    <t xml:space="preserve">Teoría de los costes</t>
  </si>
  <si>
    <t xml:space="preserve">Analisis envolvente de datos: DEA</t>
  </si>
  <si>
    <t xml:space="preserve">Analisis envolvente; DEA; analisis envolvente</t>
  </si>
  <si>
    <t xml:space="preserve">…mixtos por lo que no se puede llegar a ninguna conclusion. lnum Aplicaciones empiricas: Metodos de estimacion Analisis envolvente de datos: DEA Desarrollado por CHARNES, COOPER y RHODES en 1978, el analisis envolvente de datos surgio como…</t>
  </si>
  <si>
    <t xml:space="preserve">El modelo de oferta y demanda agregada</t>
  </si>
  <si>
    <t xml:space="preserve">analisis envolvente; DEA</t>
  </si>
  <si>
    <t xml:space="preserve">…alizan I+D para descubrir nuevas tecnicas e imitar a los competidores mas cercanos a la frontera tecnologica (analisis envolvente de datos: DEA). Las empresas pueden mejorar su productividad laboral si la innovacion o la imitacion tienen e…</t>
  </si>
  <si>
    <t xml:space="preserve">frontera estocastica; Frontera estocastica; SFA</t>
  </si>
  <si>
    <t xml:space="preserve">…orio para productor i [0.5em] &amp;E_i Termino de eficiencia tenica para productor i aligned aligned Analisis por frontera estocastica (verosimilitud): Formulacion del modelo general. Aplicaciones empiricas: Metodos de estimacion El componente…</t>
  </si>
  <si>
    <t xml:space="preserve">AVERCH</t>
  </si>
  <si>
    <t xml:space="preserve">…necesidades de mantenimiento). Rate of return Una de las primeras aportaciones en esta linea fue el modelo de AVERCH-JOHNSON (1962). Si asumimos que el regulador no tiene ninguna funcion objetivo y que solo conoce el coste de…</t>
  </si>
  <si>
    <t xml:space="preserve">TIROLE y LAFFONT; TIROLE-LAFFONT</t>
  </si>
  <si>
    <t xml:space="preserve">…ez (fundamental cuando se disenan esquemas regulatorios que duran anos); “Competition in telecommunications” (TIROLE y LAFFONT, 2000). Importantes aportaciones en el marco de la liberalizacion de mercados como el de las telecomunicacion…</t>
  </si>
  <si>
    <t xml:space="preserve">Modelo: TIROLE-LAFFONT</t>
  </si>
  <si>
    <t xml:space="preserve">LAFFONT-TIROLE; LAFFONT y TIROLE; TIROLE y LAFFONT; TIROLE-LAFFONT</t>
  </si>
  <si>
    <t xml:space="preserve">…cercano a los problemas a los que se enfrenta la regulacion en la practica. Las principales ideas del Modelo LAFFONT-TIROLE (1986) deberian de exponerse; sin necesidad de desarrollar este completamente. Las relaciones verticales y pr…</t>
  </si>
  <si>
    <t xml:space="preserve">PELTZMAN</t>
  </si>
  <si>
    <t xml:space="preserve">…d. Escuela de Chicago A partir de los anos 60's, un grupo de autores entre los que destacan STIGLER, DEMSETZ, PELTZMAN o SULLIVAN desarrollaron desde la Universidad de Chicago una serie de postulados que, partiendo del modelo mi…</t>
  </si>
  <si>
    <t xml:space="preserve">Captura del regulador: Optimo social</t>
  </si>
  <si>
    <t xml:space="preserve">captura del regulador; Captura del regulador</t>
  </si>
  <si>
    <t xml:space="preserve">…e costes, problemas de inconsistencia dinamica por parte del regulador (ratchet effects), regulatory lag o la captura del regulador, entre otros. Estas nuevas teorias impulsaron la adopcion de nuevos esquemas regulatorios como los precios ma…</t>
  </si>
  <si>
    <t xml:space="preserve">…que se inician con las aportaciones iniciales de KYDLAND &amp; PRESCOTT (1977); y, Desalineamiento de incentivos (captura del regulador). Los problemas de desalineamiento de incentivos enfatizados por la literatura de la Public Choice School. ln…</t>
  </si>
  <si>
    <t xml:space="preserve">Unión Europea (IV): El Mercado único de la UE</t>
  </si>
  <si>
    <t xml:space="preserve">captura del regulador</t>
  </si>
  <si>
    <t xml:space="preserve">…eden emanar de la propia actividad del Sector Publico, bien sea con motivo de su planificacion estrategica (o captura del regulador), bien sea por la provision directa de determinados bienes y/o servicios en el mercado. Veamos que se hace en…</t>
  </si>
  <si>
    <t xml:space="preserve">imposicion optima de RAMSEY</t>
  </si>
  <si>
    <t xml:space="preserve">…ASE [ver temas 3.A.22, 3.A.23 y 3.A.24]. Economia publica. Donde destacan las aportaciones de la teoria de la imposicion optima de RAMSEY, MIRRLEES y ATKINSON. Economia de la informacion: Desarrollada a partir de la decada de 1970 con las aportaci…</t>
  </si>
  <si>
    <t xml:space="preserve">precios de RAMSEY; precios de Ramsey; tarificacion de Ramsey</t>
  </si>
  <si>
    <t xml:space="preserve">…ria ser rapido Igualmente, la Teoria tradicional de la regulacion (donde cabria destacar, principalmente, los precios de RAMSEY-BOITEAUX, por su influencia en desarrollos posteriores). Dedicar mas tiempo a la regulacion mediante incentiv…</t>
  </si>
  <si>
    <t xml:space="preserve">precios de RAMSEY</t>
  </si>
  <si>
    <t xml:space="preserve">…cubrir ese coste variable mas la totalidad de los costes fijos. Otros sistemas. Como: tarifas en dos partes, precios de RAMSEY-BOITEUX en el caso de monopolios multiproducto, sistemas de precios tipo IPC-X, etc. la En definitiva, todo u…</t>
  </si>
  <si>
    <t xml:space="preserve">Política Fiscal</t>
  </si>
  <si>
    <t xml:space="preserve">imposicion optima de Ramsey; Imposicion Optima de RAMSEY</t>
  </si>
  <si>
    <t xml:space="preserve">…jo se espera una mayor oferta de trabajo, lo que daria lugar a un mayor empleo y mayor output. o Hilar con la imposicion optima de Ramsey (regla de la elasticidad inversa); Politica de gasto ejecutada en gastos de inversion productiva . La equival…</t>
  </si>
  <si>
    <t xml:space="preserve">Déficit Público</t>
  </si>
  <si>
    <t xml:space="preserve">imposicion optima de Ramsey</t>
  </si>
  <si>
    <t xml:space="preserve">Teoría impositiva (V): Imposición óptima</t>
  </si>
  <si>
    <t xml:space="preserve">RAMSEY (1927); regla de RAMSEY; Regla de RAMSEY; Regla de Ramsey</t>
  </si>
  <si>
    <t xml:space="preserve">…tivas derivadas de las preferencias sociales. Inicialmente, la TIO se centro, a partir del trabajo seminal de RAMSEY (1927). en estudiar las reglas que debian cumplir los impuestos sobre el consumo bajo la consideracion de que el pri…</t>
  </si>
  <si>
    <t xml:space="preserve">RAMSEY (1927); regla de RAMSEY</t>
  </si>
  <si>
    <t xml:space="preserve">…ividad no tiene nada que ver con corregir externalidades: procede de la misma regla de la elasticidad inversa RAMSEY (1927), que encuentra aqui en su formulacion original, pensada precisamente para bienes de consumo. RAMSEY se plante…</t>
  </si>
  <si>
    <t xml:space="preserve">Corlett-Hague (1953)</t>
  </si>
  <si>
    <t xml:space="preserve">CORLETT</t>
  </si>
  <si>
    <t xml:space="preserve">…ejemplo VINER, 1950; MEADE, 1955a, 1955b; y OZGA, 1955, sobre uniones aduaneras y aranceles; LITTLE, 1951; y CORLETT y HAGUE, 1953, sobre tributacion) se encontraron con el problema del segundo mejor. LIPSEY y LANCASTER (1956)…</t>
  </si>
  <si>
    <t xml:space="preserve">…sostienen que seria deseable una mayor dependencia de la fijacion de precios de RAMSEY. specialblock Regla de CORLETT-HAGUE CORLETT y HAGUE (1953) demostraron una implicacion interesante de la regla de RAMSEY: cuando hay dos bi…</t>
  </si>
  <si>
    <t xml:space="preserve">Corlett</t>
  </si>
  <si>
    <t xml:space="preserve">…ima habria recomendado igualmente, por razones completamente distintas. ## Segunda incorporacion: la regla de Corlett-Hague, y su tension con Atkinson-Stiglitz [Seguro] William Corlett y Douglas Hague ("Complementarity and the…</t>
  </si>
  <si>
    <t xml:space="preserve">Sistema Fiscal en España (V): La imposición indirecta</t>
  </si>
  <si>
    <t xml:space="preserve">…distributiva sobre bienes de consumo generalizado, terreno donde entra en juego la tension ATKINSON-STIGLITZ/CORLETT-HAGUE que ya tratamos en otros temas ([ Ver Tema 4.B.13 ]). De esta forma, el fundamento de los tipos reducid…</t>
  </si>
  <si>
    <t xml:space="preserve">Diamond-Mirrlees (1971)</t>
  </si>
  <si>
    <t xml:space="preserve">DIAMOND y MIRRLEES</t>
  </si>
  <si>
    <t xml:space="preserve">…es decir, rendimientos que superan las remuneraciones pagadas a sus factores de produccion. Como demostraron DIAMOND y MIRRLEES (1971) en un analisis fundamental, un impuesto sobre los beneficios puros constituye una forma mucho mejor de…</t>
  </si>
  <si>
    <t xml:space="preserve">Diamond-Mirrlees; Diamond y Mirrlees; DIAMOND y MIRRLEES</t>
  </si>
  <si>
    <t xml:space="preserve">…as una que habia dejado caer sin darme cuenta. ## La laguna principal: el teorema de eficiencia productiva de Diamond-Mirrlees [Seguro] Peter Diamond y James Mirrlees ("Optimal Taxation and Public Production I: Production Efficiency" y…</t>
  </si>
  <si>
    <t xml:space="preserve">…zacion de la inversion productiva. Es decir, una violacion directa del principio de eficiencia productiva que DIAMOND y MIRRLEES formalizarian apenas unos anos despues. lnum Ademas, un dato senalado por la doctrina revela un problema prac…</t>
  </si>
  <si>
    <t xml:space="preserve">Ramsey-Boiteux (1956)</t>
  </si>
  <si>
    <t xml:space="preserve">RAMSEY-BOITEUX</t>
  </si>
  <si>
    <t xml:space="preserve">…el segundo optimo. Pero, ¿como se determina? La aportacion teorica mas importante es el mecanismo de precios RAMSEY-BOITEUX. La esencia teorico-conceptual de este mecanismo es proporcionar el limite teorico de eficiencia cuando hay q…</t>
  </si>
  <si>
    <t xml:space="preserve">…coste variable mas la totalidad de los costes fijos. Otros sistemas. Como: tarifas en dos partes, precios de RAMSEY-BOITEUX en el caso de monopolios multiproducto, sistemas de precios tipo IPC-X, etc. la En definitiva, todo un conjun…</t>
  </si>
  <si>
    <t xml:space="preserve">MIRRLEES</t>
  </si>
  <si>
    <t xml:space="preserve">…y 3.A.24]. Economia publica. Donde destacan las aportaciones de la teoria de la imposicion optima de RAMSEY, MIRRLEES y ATKINSON. Economia de la informacion: Desarrollada a partir de la decada de 1970 con las aportaciones de AK…</t>
  </si>
  <si>
    <t xml:space="preserve">MIRRLESS</t>
  </si>
  <si>
    <t xml:space="preserve">…del resultado o solucion. Se suele exigir que las preferencias de los Agentes satisfagan la condicion SPENCER-MIRRLESS: lnum Condicion de signo constante . La derivada de la relacion marginal de sustitucion entre esfuerzo y remu…</t>
  </si>
  <si>
    <t xml:space="preserve">Economía de los países en desarrollo</t>
  </si>
  <si>
    <t xml:space="preserve">Mirrlees</t>
  </si>
  <si>
    <t xml:space="preserve">…iencia productiva e igualdad se basa en consideraciones de incentivos, formalizadas por primera vez por James Mirrlees (1971). En un contexto de riesgo moral, donde la produccion depende del esfuerzo no observable realizado por…</t>
  </si>
  <si>
    <t xml:space="preserve">…rendimientos que superan las remuneraciones pagadas a sus factores de produccion. Como demostraron DIAMOND y MIRRLEES (1971) en un analisis fundamental, un impuesto sobre los beneficios puros constituye una forma mucho mejor de…</t>
  </si>
  <si>
    <t xml:space="preserve">Impuesto sobre la Renta Personal: Desarrollo analitico (MIRRLESS, 1971)</t>
  </si>
  <si>
    <t xml:space="preserve">MIRRLEES; MIRRLESS</t>
  </si>
  <si>
    <t xml:space="preserve">…consumo, la TlO no incorporo en sus modelos el dilema entre eficiencia y equidad hasta el trabajo seminal de MIRRLEES (1971), lo que permitio hablar de una segunda ola de modelos de imposicion optima. En un escenario de informa…</t>
  </si>
  <si>
    <t xml:space="preserve">…Company, Nueva York (tesis doctoral, Columbia University). - BOSKIN, M. (2000): "From Edgeworth to Vickrey to Mirrlees: The Vickrey Lecture", Atlantic Economic Journal, vol. 28, num. 1. - BUCHANAN, N. H. (2006): "Should We Adopt…</t>
  </si>
  <si>
    <t xml:space="preserve">…ue habia dejado caer sin darme cuenta. ## La laguna principal: el teorema de eficiencia productiva de Diamond-Mirrlees [Seguro] Peter Diamond y James Mirrlees ("Optimal Taxation and Public Production I: Production Efficiency" y…</t>
  </si>
  <si>
    <t xml:space="preserve">Sistema Fiscal en España (I): Impuesto sobre la Renta de las Personas Físicas</t>
  </si>
  <si>
    <t xml:space="preserve">MIRRLEES; Mirrlees</t>
  </si>
  <si>
    <t xml:space="preserve">…educe la progresividad global del sistema precisamente donde mas recaudacion potencial hay. El propio Informe MIRRLEES dedica un capitulo entero a esta tension, concluyendo que no existe una solucion de diseno que resuelva simul…</t>
  </si>
  <si>
    <t xml:space="preserve">…la inversion productiva. Es decir, una violacion directa del principio de eficiencia productiva que DIAMOND y MIRRLEES formalizarian apenas unos anos despues. lnum Ademas, un dato senalado por la doctrina revela un problema prac…</t>
  </si>
  <si>
    <t xml:space="preserve">Teoria de la Imposicion Optima: Teorema de ATKINSON y STIGLITZ (1976)</t>
  </si>
  <si>
    <t xml:space="preserve">Atkinson y Stiglitz; Atkinson-Stiglitz</t>
  </si>
  <si>
    <t xml:space="preserve">…e modelos de imposicion optima con metas redistributivas (a partir de los trabajos seminales de MiITlees y de Atkinson y Stiglitz), la TlO pasa a diferenciar dos grandes bloques, el dedicado a las reglas de imposicion optima sobre el consu…</t>
  </si>
  <si>
    <t xml:space="preserve">Atkinson-Stiglitz</t>
  </si>
  <si>
    <t xml:space="preserve">…e pertenece, con toda propiedad, a este bloque y que hasta ahora no hemos usado en ningun tema: el teorema de Atkinson-Stiglitz (Anthony Atkinson y Joseph Stiglitz, "The Design of Tax Structure: Direct versus Indirect Taxation", *Journal…</t>
  </si>
  <si>
    <t xml:space="preserve">ATKINSON-STIGLITZ; ATKINSON y STIGLITZ</t>
  </si>
  <si>
    <t xml:space="preserve">…a la preocupacion distributiva sobre bienes de consumo generalizado, terreno donde entra en juego la tension ATKINSON-STIGLITZ/CORLETT-HAGUE que ya tratamos en otros temas ([ Ver Tema 4.B.13 ]). De esta forma, el fundamento de los tipos…</t>
  </si>
  <si>
    <t xml:space="preserve">Política Presupuestaria (III): Finanzas de las Administraciones Públicas en España</t>
  </si>
  <si>
    <t xml:space="preserve">…nthony Atkinson -Warden del Nuffield College de Oxford, y la misma figura, no por casualidad, cuyo teorema de Atkinson-Stiglitz ya trabajamos con todo detalle en el Tema 13 a proposito de la diferenciacion de tipos de IVA- una revision i…</t>
  </si>
  <si>
    <t xml:space="preserve">Impuesto sobre el gasto personal: Desarrollo analitico (CHAMLEY, 1986; JUDD (1985))</t>
  </si>
  <si>
    <t xml:space="preserve">CHAMLEY; JUDD (1985); Chamley; Judd (1985)</t>
  </si>
  <si>
    <t xml:space="preserve">…cuando la tasa impositiva sobre el Sr. Rico es del 20 Impuesto sobre el gasto personal: Desarrollo analitico (CHAMLEY, 1986; JUDD (1985)) Aunque el impuesto sobre la renta personal ha sido una herramienta tradicional para recau…</t>
  </si>
  <si>
    <t xml:space="preserve">Chamley; CHAMLEY</t>
  </si>
  <si>
    <t xml:space="preserve">…in desarrollarlo con el aparato matematico que corresponde propiamente al Tema 11: el resultado de Christophe Chamley (1986, Econometrica) y Kenneth Judd (1985, Journal of Public Economics), formulado de forma independiente por…</t>
  </si>
  <si>
    <t xml:space="preserve">Chamley</t>
  </si>
  <si>
    <t xml:space="preserve">…que le daria al Bloque 3 de este tema el mismo tipo de tension entre teoria elegante y practica extendida que Chamley-Judd le dio al Bloque 3 del Tema 12. ### Bloque 4 - se traslada bien, con material comparado propio IVA frent…</t>
  </si>
  <si>
    <t xml:space="preserve">CHAMLEY</t>
  </si>
  <si>
    <t xml:space="preserve">…mizar la perdida de bienestar por unidad de recaudacion; Esta es la intuicion detras del resultado teorico de CHAMLEY-JUDD sobre la conveniencia de un tipo cero sobre el capital en el largo plazo en modelos de crecimiento optim…</t>
  </si>
  <si>
    <t xml:space="preserve">Teoría impositiva (II): Traslación e incidencia de los impuestos en mercados competitivos y monopolistas</t>
  </si>
  <si>
    <t xml:space="preserve">Modelo de HARBERGER (1974): Impuesto parcial sobre el capital ( t_ KM )</t>
  </si>
  <si>
    <t xml:space="preserve">Modelo de HARBERGER</t>
  </si>
  <si>
    <t xml:space="preserve">…lisis de equilibrio general tiene en cuenta las formas en que los distintos mercados estan interrelacionados. Modelo de HARBERGER (1974): Impuesto parcial sobre el capital ( t_ KM ) Apoyandonos en el Modelo de HARBERGER (1974), pionero en…</t>
  </si>
  <si>
    <t xml:space="preserve">modelo de HARBERGER</t>
  </si>
  <si>
    <t xml:space="preserve">…e enfrenta a un tipo impositivo alto hacia aquellas en las que el tipo es bajo. En un proceso que recuerda al modelo de HARBERGER ([ Ver Tema 4.B.8 ]), a medida que el capital migra hacia areas con tipos impositivos bajos, su tasa de rendi…</t>
  </si>
  <si>
    <t xml:space="preserve">KEEN y SLEMROD; Keen y Slemrod</t>
  </si>
  <si>
    <t xml:space="preserve">…vo solo presenta el efecto renta apuntado (ae/eJt &lt; O). Teoria de la Administracion Tributaria Recientemente, KEEN y SLEMROD (2017) han propuesto un marco de analisis para analizar el comportamiento optimo de la administracion tributa…</t>
  </si>
  <si>
    <t xml:space="preserve">SANDMO</t>
  </si>
  <si>
    <t xml:space="preserve">…jesusfv/Uncertainty_Shocks_Business_Cycle.pdf (pags. 9, 10 y 11) Ver esto para entender lo de LELAND (1968) y SANDMO (1970) - Util para [Tema 3.A.33] de demanda de consumo en la teoria del paseo aleatorio de HALL (1978). En es…</t>
  </si>
  <si>
    <t xml:space="preserve">ALLINGHAM</t>
  </si>
  <si>
    <t xml:space="preserve">…_1 = k CMg _1 (LIPSEY y LANCASTER, 1959). Este problema del numero de restricciones parece manejarse mejor en ALLINGHAM y ARCHIBALD (1975). De manera mas general aun, MISHAN aclara que el teorema del second best solo afecta a la…</t>
  </si>
  <si>
    <t xml:space="preserve">ALLINGHAM; SANDMO</t>
  </si>
  <si>
    <t xml:space="preserve">…el CMFP a traves de la expresion (27). Evasion fiscal La teoria de la evasion fiscal optima desarrollada por ALLINGHAM y SANDMO (1972) es una contribucion importante en el campo de la economia de la imposicion. Esta teoria, cuyo…</t>
  </si>
  <si>
    <t xml:space="preserve">Yitzhaki; YITZHAKI</t>
  </si>
  <si>
    <t xml:space="preserve">…proporcion de la renta evadida. s • e. Alternativamente, algunas variantes posteriores del modelo. como la de Yitzhaki (1974), definen la sancion como como un porcentajea aplicado sobre la cuota impositiva evadida, tal que a · t…</t>
  </si>
  <si>
    <t xml:space="preserve">Domar y Musgrave; DOMAR y MUSGRAVE; DOMAR-MUSGRAVE</t>
  </si>
  <si>
    <t xml:space="preserve">…to a las tasas de rendimiento como a los niveles de riesgo de los diferentes activos. Siguiendo el trabajo de Domar y Musgrave (1944), es posible que los impuestos fomenten la asuncion de riesgos, ya que el gobierno comparte el riesgo.…</t>
  </si>
  <si>
    <t xml:space="preserve">Tiebout</t>
  </si>
  <si>
    <t xml:space="preserve">…localidad. La pregunta natural a realizarse es si el equilibrio que surge es eficiente o no. La Hipotesis de Tiebout establece que, bajo un conjunto de supuestos muy concretos y restrictivos, este equilibrio sera eficiente. En…</t>
  </si>
  <si>
    <t xml:space="preserve">TIEBOUT</t>
  </si>
  <si>
    <t xml:space="preserve">…stos sobre la propiedad para comprar servicios publicos como educacion y proteccion policial. En el modelo de TIEBOUT, el impuesto sobre la propiedad es simplemente el coste de comprar servicios publicos, y cada individuo compr…</t>
  </si>
  <si>
    <t xml:space="preserve">Eficiencia: Modelo de TIEBOUT</t>
  </si>
  <si>
    <t xml:space="preserve">…lativamente similares, y cuando la mayoria de los residentes pueden beneficiarse de esos bienes, el modelo de Tiebout sugiere que el gasto deberia realizarse localmente. Cuando el gasto se destina a bienes que benefician unicam…</t>
  </si>
  <si>
    <t xml:space="preserve">Sistema Fiscal en España (II): Impuesto de Sociedades</t>
  </si>
  <si>
    <t xml:space="preserve">Tiebout; TIEBOUT</t>
  </si>
  <si>
    <t xml:space="preserve">…cacion economica clasica de permitir que entidades subestatales fijen su propia fiscalidad procede de Charles Tiebout (1956, A Pure Theory of Local Expenditures, Journal of Political Economy): si contribuyentes y empresas puede…</t>
  </si>
  <si>
    <t xml:space="preserve">Sistema Fiscal en España (IV): Imposición Patrimonial</t>
  </si>
  <si>
    <t xml:space="preserve">…la propia funcion de estos impuestos, que conviene presentar con el mismo rigor con que presentamos el debate Tiebout/Zodrow-Mieszkowski en el Tema 17 a proposito de la competencia fiscal foral en el IS -el mismo argumento de f…</t>
  </si>
  <si>
    <t xml:space="preserve">Organización Territorial del Estado (I): Administraciones Territoriales en España</t>
  </si>
  <si>
    <t xml:space="preserve">…ar. [Seguro] La tentacion natural en este subapartado es exponer el federalismo fiscal como un manual: Oates, Tiebout, Musgrave, uno detras de otro. Si se hace asi, ocurren dos cosas. El subapartado invade el tema teorico del t…</t>
  </si>
  <si>
    <t xml:space="preserve">OATES</t>
  </si>
  <si>
    <t xml:space="preserve">…sean contrarrestados por los servicios publicos financiados mediante estos impuestos. En un articulo clasico, OATES (1969) construyo un modelo econometrico de determinacion del valor de la propiedad. Por supuesto, entre comun…</t>
  </si>
  <si>
    <t xml:space="preserve">OATES; Oates</t>
  </si>
  <si>
    <t xml:space="preserve">…o y el privado, y los efectos de la financiacion intergubernamental y las interacciones fiscales. Como senalo OATES (2005), se puede observar una gran evolucion dentro de esta teoria que permite clasificar las aportaciones en…</t>
  </si>
  <si>
    <t xml:space="preserve">Oates; OATES</t>
  </si>
  <si>
    <t xml:space="preserve">…apitalizado en el inmueble revela, precisamente, cuanto estan dispuestos a pagar por esa combinacion. Wallace Oates, en su trabajo ya clasico (1969, The Effects of Property Taxes and Local Public Spending on Property Values,…</t>
  </si>
  <si>
    <t xml:space="preserve">Política presupuestaria (I): Presupuestos del Estado</t>
  </si>
  <si>
    <t xml:space="preserve">…encial y prestar cooperacion. Este principio traduce un problema clasico de la teoria del federalismo fiscal, OATES (1972): en cualquier sistema de gobierno descentralizado, las decisiones de gasto o de endeudamiento de un ni…</t>
  </si>
  <si>
    <t xml:space="preserve">…al del mismo modo que el seguro diversifica el riesgo individual. La teoria del federalismo fiscal (MUSGRAVE, OATES) asigna la funcion redistributiva al nivel central de gobierno, precisamente porque la movilidad de personas…</t>
  </si>
  <si>
    <t xml:space="preserve">Oates</t>
  </si>
  <si>
    <t xml:space="preserve">…e empezar. [Seguro] La tentacion natural en este subapartado es exponer el federalismo fiscal como un manual: Oates, Tiebout, Musgrave, uno detras de otro. Si se hace asi, ocurren dos cosas. El subapartado invade el tema teor…</t>
  </si>
  <si>
    <t xml:space="preserve">bienes de club</t>
  </si>
  <si>
    <t xml:space="preserve">…n una vecindad proxima. Por tanto, definimos los bienes publicos locales Un concepto relacionado es el de los bienes de club, que se definen como aquellos bienes (parcial o totalmente) no rivales pero que si son excluibles. Por ejempl…</t>
  </si>
  <si>
    <t xml:space="preserve">Fuerzas centripetas: Modelo de BUCHANAN (1965)</t>
  </si>
  <si>
    <t xml:space="preserve">BUCHANAN (1965); Teoria de los Clubes</t>
  </si>
  <si>
    <t xml:space="preserve">…umero de agentes. y los costes en el bienestar de los agentes que esto supone. Fuerzas centripetas: Modelo de BUCHANAN (1965) Para comprender las funciones fiscales apropiadas de las jurisdicciones locales, examinamos por que se forman…</t>
  </si>
  <si>
    <t xml:space="preserve">NISKANEN</t>
  </si>
  <si>
    <t xml:space="preserve">…De entre los desarrollos de la teoria de la agencia en este contexto de empresa publica destaca el modelo de NISKANEN, en el que el burocrata maximiza su utilidad, que depende positivamente del presupuesto, dando lugar a un sob…</t>
  </si>
  <si>
    <t xml:space="preserve">…Implicaciones de la descentralizacion de los ingresos en los objetivos del gobierno central En este sentido, NISKANEN indicaba que el Sector Publico se caracteriza por tratar de maximizar sus presupuestos para asi aumentar su p…</t>
  </si>
  <si>
    <t xml:space="preserve">NISKANEN; Niskanen</t>
  </si>
  <si>
    <t xml:space="preserve">…decisiones a grupos de presion o a ciertos colectivos especificos en contra del interes general Por su parte, NISKANEN (1975) argumenta que los burocratas pueden perseguir la maximizacion de una funcion objetivo que incluya el b…</t>
  </si>
  <si>
    <t xml:space="preserve">…Esta fragmentacion tiene explicaciones de economia politica que la teoria de la burocracia ayuda a entender. NISKANEN (1971) y su modelo de burocrata maximizador de presupuesto, fue matizado por DUNLEAVY (1991) con su teoria de…</t>
  </si>
  <si>
    <t xml:space="preserve">Niskanen</t>
  </si>
  <si>
    <t xml:space="preserve">…mlich y Rubinfeld, 1979); - el comportamiento **burocratico** o del gobierno como maximizador de presupuesto (Niskanen), que se apropia de la transferencia; - los **costes de ajuste** y de gravamen; - errores de especificacion e…</t>
  </si>
  <si>
    <t xml:space="preserve">Dunleavy (1991, bureau-shaping)</t>
  </si>
  <si>
    <t xml:space="preserve">DUNLEAVY; Dunleavy</t>
  </si>
  <si>
    <t xml:space="preserve">…racia ayuda a entender. NISKANEN (1971) y su modelo de burocrata maximizador de presupuesto, fue matizado por DUNLEAVY (1991) con su teoria del bureau-shaping : los altos responsables no buscan tanto maximizar el presupuesto tot…</t>
  </si>
  <si>
    <t xml:space="preserve">Migué-Bélanger (1974)</t>
  </si>
  <si>
    <t xml:space="preserve">Migue y Belanger; MIGUE</t>
  </si>
  <si>
    <t xml:space="preserve">…iz y rigor al argumento, que el propio modelo de Niskanen fue objeto de una critica influyente por parte de **Migue y Belanger** (1974, "Toward a General Theory of Managerial Discretion", *Public Choice*), quienes argumentaron que el bu…</t>
  </si>
  <si>
    <t xml:space="preserve">Argumentos en contra: Estado Leviatan (BRENNAN y BUCHANAN, 1980)</t>
  </si>
  <si>
    <t xml:space="preserve">Leviatan; BRENNAN y BUCHANAN</t>
  </si>
  <si>
    <t xml:space="preserve">…u solucion tecnica resulto, con el tiempo, insostenible en sus propios terminos. Argumentos en contra: Estado Leviatan (BRENNAN y BUCHANAN, 1980) Cerramos este primer bloque conceptual con la objecion mas radical de todas a las…</t>
  </si>
  <si>
    <t xml:space="preserve">Brennan y Buchanan; Leviatan; BRENNAN y BUCHANAN</t>
  </si>
  <si>
    <t xml:space="preserve">…stas de diseno monofasico -una anomalia que, adelanto ya, conectaremos en el Bloque 4 con el propio recelo de Brennan y Buchanan hacia las bases imponibles amplias y de dificil elusion, porque el IVA ha sido descrito, en el propio debate…</t>
  </si>
  <si>
    <t xml:space="preserve">…alarios. BUCHANAN en 1980 extendio esta idea al considerar que el Sector Publico puede considerarse como un ·'Leviatan'' que se extiende maximizando las rentas que extrae de la economia. aumentando tambien su poder monopolistico…</t>
  </si>
  <si>
    <t xml:space="preserve">Leviatan; Brennan y Buchanan</t>
  </si>
  <si>
    <t xml:space="preserve">…la restriccion es blanda. Competencia fiscal: ¿virtuosa o destructiva? **a) La vision optimista: Tiebout y el Leviatan.** [Seguro] Para la vision optimista, la competencia entre jurisdicciones es **eficiente**, por dos razones.…</t>
  </si>
  <si>
    <t xml:space="preserve">votante mediano</t>
  </si>
  <si>
    <t xml:space="preserve">…cir, aquel ubicado en el medio al ordenar transitivamente las alternativas, lo que se conoce como Teorema del votante mediano . lnum Ausencia dictatorial: WICKSELL Por otro lado, ¿que pasaria si nuestro Agregador Social de Preferencias…</t>
  </si>
  <si>
    <t xml:space="preserve">Votante Mediano</t>
  </si>
  <si>
    <t xml:space="preserve">…onomias desarrolladas podria ser explicado por la configuracion del proceso politico aplicando el Teorema del Votante Mediano. Al igual que cualquier otro agente economico el gobierno se enfrenta a una restriccion presupuestaria. Natur…</t>
  </si>
  <si>
    <t xml:space="preserve">…tes. En el caso mas sencillo, esta practica conduce a la adopcion de politicas que sirven a los intereses del votante mediano. Sin embargo, este enfoque, aunque util para reflexionar sobre muchas cuestiones, parece proporcionar predicc…</t>
  </si>
  <si>
    <t xml:space="preserve">…munidad deja abierta una cuestion fundamental: ¿de quien son esas curvas de indiferencia? Segun la teoria del votante mediano (Capitulo 6), las preferencias son las del votante mediano de la comunidad. Los burocratas y los cargos elect…</t>
  </si>
  <si>
    <t xml:space="preserve">…o se repiten. Por que el reparto se resiste al cambio: votantes, coaliciones e instituciones a) El modelo del votante mediano: la tendencia a la sobreexpansion. La economia politica formal de las pensiones parte de Browning (1975, Jour…</t>
  </si>
  <si>
    <t xml:space="preserve">…publico que un aumento de un euro en la renta privada de los ciudadanos, porque el gobierno, como agente del votante mediano, la trataria como renta de la comunidad. **c) El efecto *flypaper*: una anomalia persistente.** [Seguro] La e…</t>
  </si>
  <si>
    <t xml:space="preserve">Condicion de SAMUELSON</t>
  </si>
  <si>
    <t xml:space="preserve">…de cada unidad producida, por lo que este seria infra provisto. La condicion de optimalidad viene dada por la Condicion de SAMUELSON . No obstante, su implementacion practica se enfrenta a un problema esencial, el problema del free rider . Si…</t>
  </si>
  <si>
    <t xml:space="preserve">condicion de SAMUELSON</t>
  </si>
  <si>
    <t xml:space="preserve">…= dC(n) dn ; es decir, el beneficio marginal social sea igual a los coste marginal social. Se conoce como la condicion de SAMUELSON . Numero de miembros: ¿cuantos miembros deberia tener? Consideremos primero la relacion entre el coste total…</t>
  </si>
  <si>
    <t xml:space="preserve">Clarke-Groves (mecanismo de revelación)</t>
  </si>
  <si>
    <t xml:space="preserve">CLARKE-GROVES; Clarke y Groves; GROVES</t>
  </si>
  <si>
    <t xml:space="preserve">…a necesario renunciar a dicho mecanismo para encontrar soluciones de tipo second best como es el Mecanismo de CLARKE-GROVES . Implicaciones de Politica Economica Sin embargo, a pesar de las atractivas propiedades de los equilibrios d…</t>
  </si>
  <si>
    <t xml:space="preserve">Clarke y Groves</t>
  </si>
  <si>
    <t xml:space="preserve">…no manipulables. Uno de los mas importantes es el dominio de las preferencias cuasilineales, para las cuales Clarke y Groves lograron definir el mecanismo pivotal, bajo el cual cabe esperar la revelacion correcta de preferencias en si…</t>
  </si>
  <si>
    <t xml:space="preserve">Lindahl (1919)</t>
  </si>
  <si>
    <t xml:space="preserve">Mecanismo de revelacion: Precios LINDAHL</t>
  </si>
  <si>
    <t xml:space="preserve">LINDAHL</t>
  </si>
  <si>
    <t xml:space="preserve">…problema del free rider . Si ignorarnos este problema, un mecanismo optimo de financiacion serian los precios LINDAHL . Existen multiples extensiones al analisis de los bienes publicos: bienes publicos locales, bienes comunales…</t>
  </si>
  <si>
    <t xml:space="preserve">Eficiencia: Principio del beneficio (WICKSELL, 1896; LINDAHL, 1919)</t>
  </si>
  <si>
    <t xml:space="preserve">…a de que determina cuanto debe pagar cada contribuyente. Eficiencia: Principio del beneficio (WICKSELL, 1896; LINDAHL, 1919) El principio del beneficio, desarrollado con rigor analitico por los economistas suecos WICKSELL (1896…</t>
  </si>
  <si>
    <t xml:space="preserve">…nidades. la Con los problemas de revelacion y agregacion de preferencias resueltos, la fijacion de precios de LINDAHL funciona en el modelo de TIEBOUT. Cada individuo declara su verdadera valoracion del bien publico, las valora…</t>
  </si>
  <si>
    <t xml:space="preserve">ciclo politico</t>
  </si>
  <si>
    <t xml:space="preserve">…ciones a este comportamiento. puede citarse la posible presion de los agentes sociales o teorias referidas al ciclo politico. Los agentes son conscientes del primer paso, con lo que ajustan sus expectativas de inflacion a la inflacion…</t>
  </si>
  <si>
    <t xml:space="preserve">…elemento clave para que la reputacion pueda sostener el equilibrio es que el regulador este desvinculado del ciclo politico, de ahi la tendencia a crear reguladores independientes. No obstante, como senala JOSKOW (2007), en la realid…</t>
  </si>
  <si>
    <t xml:space="preserve">…de las reglas fiscales frente a la discrecionalidad democratica. Cuanto mas se blinda una decision frente al ciclo politico para ganar credibilidad tecnica, mas se aleja tambien del circuito de responsabilidad democratica directa que…</t>
  </si>
  <si>
    <t xml:space="preserve">…, muy amplio. Esa amplitud explica tanto la flexibilidad del sistema para adaptarse como su vulnerabilidad al ciclo politico. Principios del sistema Como cualquier ordenacion basica de la accion del Estado, el sistema de Seguridad Soc…</t>
  </si>
  <si>
    <t xml:space="preserve">Efectividad e interrelación de las Políticas Monetarias y Fiscales</t>
  </si>
  <si>
    <t xml:space="preserve">Multiplicador Fiscal: Modelo keynesiano basico</t>
  </si>
  <si>
    <t xml:space="preserve">Modelo keynesiano basico; modelo keynesiano basico</t>
  </si>
  <si>
    <t xml:space="preserve">…nda y oferta de las teorias anteriores para explicar los efectos de la politica fiscal. Multiplicador Fiscal: Modelo keynesiano basico Empecemos revisando el marco teorico del multiplicador fiscal desde una perspectiva agregada, es decir, sin t…</t>
  </si>
  <si>
    <t xml:space="preserve">Desarrollo formal: el Aspa Keynesiana</t>
  </si>
  <si>
    <t xml:space="preserve">Aspa Keynesiana</t>
  </si>
  <si>
    <t xml:space="preserve">…ernacionales estaban constituidas por mercancias, pero no por movimientos de capitales. Desarrollo formal: el Aspa Keynesiana Las deficiencias observadas por las teorias anteriores resultaran en la introduccion formal , en los anos 60'…</t>
  </si>
  <si>
    <t xml:space="preserve">HICKS y HANSEN</t>
  </si>
  <si>
    <t xml:space="preserve">…fecto de un descenso de los salarios nominales La economia post-keynesiana Las contribuciones de autores como HICKS y HANSEN permiten reconciliar las ideas de Keyes con la economia neoclasica, dando lugar a la denominada Sintesis Neoc…</t>
  </si>
  <si>
    <t xml:space="preserve">El Equilibrio general en el IS-LM(-BP)</t>
  </si>
  <si>
    <t xml:space="preserve">…su bienestar recurriendo al intercambio. lnum Principales lineas de investigacion El Equilibrio general en el IS-LM(-BP) Se trata del modelo macroeconomico de economia cerrada dominante de la sintesis neoclasica. La popularid…</t>
  </si>
  <si>
    <t xml:space="preserve">…en la formacion de expectativas . Dependen del regimen de politica economica (HER). Aquellos modelos, como el IS-LM, cuyos parametros son una combinacion de ambos tipos, se veran afectados por las medidas de politica economic…</t>
  </si>
  <si>
    <t xml:space="preserve">…acabaria siendo la interpretacion de HICKS la que calase, transformando las propuestas de KEYNES en el modelo IS-LM. Sin embargo, ante la contradiccion de dichas teorias con la eficiencia de los mercados, a finales de los ano…</t>
  </si>
  <si>
    <t xml:space="preserve">…mitia establecer un mecanismo para explicar la inflacion que, hasta ese momento, no existia dentro del modelo IS-LM. En efecto, en el modelo IS-LM se asumia el nivel de precios como dado, de modo que los cambios en lademanda…</t>
  </si>
  <si>
    <t xml:space="preserve">…estable y que el sistema financiero transmita los cambios en el tipo de interes a la inversion. En el modelo IS-LM, la inestabilidad de la demanda de dinero se traduce simplemente en una LM mas o menos plana o empinada. Si l…</t>
  </si>
  <si>
    <t xml:space="preserve">Política Monetaria (I)</t>
  </si>
  <si>
    <t xml:space="preserve">…, por lo que la funcion objetivo a minimizar es la varianza del _ PIB =E[x_t]^2 . Bajo el contexto del modelo IS-LM, donde: (i) la curva IS representa el lado real de la economia, de tal fonna que existe una relacion negativa…</t>
  </si>
  <si>
    <t xml:space="preserve">…forma: aligned &amp; Curva IS: &amp;&amp;Y^d=C(c)+I(b,i)+G [0.5em] &amp; Curva LM: &amp;&amp;M^d=k ;Y-h ;i aligned Curvas del Modelo IS-LM. Teoria efectividad de la Politica Fiscal A partir de estas ecuaciones, podemos ver como la Politica Fiscal t…</t>
  </si>
  <si>
    <t xml:space="preserve">…o principalmente por motivo transaccion y por ningun otro motivo, esto provoca que (en el contexto del Modelo IS-LM, a modo de ilustracion grafica) la pendiente de la curva de demanda de dinero (LM) sea completamente vertical…</t>
  </si>
  <si>
    <t xml:space="preserve">…P ^o( i_t) ; ; y_t aligned . aligned [1em] &amp; 20.5em [1em] &amp; 15.5em _ G,t = 1 (1-c)(1-b ; k h ) aligned Modelo IS-LM: Tipo de Interes. Multiplicadores Fiscales Las interacciones de la Politica Monetaria en el modelo IS-LM afec…</t>
  </si>
  <si>
    <t xml:space="preserve">Análisis comparado de los distintos regímenes cambiarios</t>
  </si>
  <si>
    <t xml:space="preserve">…mbio seria deseable. Su trabajo influenciaria en la decada de 1960 a MUNDELL y FLEMING, que amplian el modelo IS-LM de HICKS para economia abierta, creando el modelo IS-LM-BP (posteriormente DORNBUSCH lo llamaria modelo MUNDE…</t>
  </si>
  <si>
    <t xml:space="preserve">Coordinación internacional de Políticas Económicas</t>
  </si>
  <si>
    <t xml:space="preserve">…atura sobre macroeconomia en economia abierta. En este sentido el marco conceptual de analisis sera el modelo IS-LM incluyendo el equilibrio exterior, BP . Los supuestos del modelo basico son: se supone la existencia de unica…</t>
  </si>
  <si>
    <t xml:space="preserve">OA-DA</t>
  </si>
  <si>
    <t xml:space="preserve">…le que ofrezca, por regla general, una tendencia a disminuir a medida que la ocupacion crece lnum Equilibrio: OA-DA La interseccion de la Funcion de Demanda Agregada y la Funcion de Oferta Agregada proporciona el nivel de emp…</t>
  </si>
  <si>
    <t xml:space="preserve">…ar la amplitud e implicaciones del ciclo. Convergiendo, de esta forma, con el marco teorico de los modelos de OA-DA y el analisis de las perturbaciones y sus implicaciones de Politica Economica. red OJO! Algunos autores post-…</t>
  </si>
  <si>
    <t xml:space="preserve">BARRO y GROSSMAN; modelo de Desequilibrio; Modelo de Desequilibrio</t>
  </si>
  <si>
    <t xml:space="preserve">…de modificar dichos precios y salarios en aras de alcanzar el equilibrio general. Siguiendo la publicacion de BARRO y GROSSMAN (1971), se expone un modelo de Desequilibrio General de la Produccion y el Empleo con Exceso de Oferta, que e…</t>
  </si>
  <si>
    <t xml:space="preserve">modelos plausibles de desequilibrio</t>
  </si>
  <si>
    <t xml:space="preserve">…mbargo, que estos son solo dos ejemplos. De hecho, una de las dificultades en este ambito es la abundancia de modelos plausibles de desequilibrio. Aunque existe una unica manera de estar en equilibrio, hay muchas maneras diferentes de estar en desequilibr…</t>
  </si>
  <si>
    <t xml:space="preserve">RBC</t>
  </si>
  <si>
    <t xml:space="preserve">…na version simplificada y tratable del modelo de Equlibrio General). Los agentes representativos en el modelo RBC basico son consumidores y empresas, con sendos problemas de optimizacion: la Los hogares maximizan su utilida…</t>
  </si>
  <si>
    <t xml:space="preserve">ciclos reales; Ciclos Reales</t>
  </si>
  <si>
    <t xml:space="preserve">…document 1cm Es imprescindible anadir el modelo de ciclos reales de la NMC, de hecho, es probablemente el mas importante a la hora de exponerlo!!! arabic page 1 Introduccion…</t>
  </si>
  <si>
    <t xml:space="preserve">Ciclos reales</t>
  </si>
  <si>
    <t xml:space="preserve">…, la tasa media de inflacion aumenta y disminuye la eficacia de la politica monetaria y aumentan los precios. Ciclos reales. Politica economica: discrecionalidad En relacion con los ciclos, los autores de la NEK se basan en la inform…</t>
  </si>
  <si>
    <t xml:space="preserve">Ciclos Reales</t>
  </si>
  <si>
    <t xml:space="preserve">…o neoclasico que, de hecho, se encuentra en la base de los modelos de la Nueva Macroeconomia Clasica y de los Ciclos Reales LUCAS y RAPPING (1969) intentan reconciliar en su trabajo las aparente divergencias en la modelizacion de la…</t>
  </si>
  <si>
    <t xml:space="preserve">ciclos reales</t>
  </si>
  <si>
    <t xml:space="preserve">…tos, tanto a nivel del estudio de variables agregadas (mercados de trabajo o consumo) como el analisis de los ciclos reales o del crecimiento economico. la Elementos esenciales Ahora bien, ¿como construimos un MHI? ¿Que componentes n…</t>
  </si>
  <si>
    <t xml:space="preserve">ciclos reales; RBC</t>
  </si>
  <si>
    <t xml:space="preserve">…eral dinamico estocastico (DSGE), que durante mucho tiempo habia sido el rasgo distintivo de la teoria de los ciclos reales (RBC). En los modelos resultantes los cambios en las condiciones monetarias tienen efectos no triviales sobre…</t>
  </si>
  <si>
    <t xml:space="preserve">Multiplicador Fiscal: Teorua de Ciclos Reales (NMC)</t>
  </si>
  <si>
    <t xml:space="preserve">…teorico de la efectividad e interrelacion de la Politica Monetaria y Fiscal. Multiplicador Fiscal: Teorua de Ciclos Reales (NMC) Una de las primeras fue la Teoria de los Ciclos Economicos Reales (CER), prevalente en los anos 80's. L…</t>
  </si>
  <si>
    <t xml:space="preserve">Ciclos Reales: Modelo canonico</t>
  </si>
  <si>
    <t xml:space="preserve">RBC; ciclos reales; real business cycle</t>
  </si>
  <si>
    <t xml:space="preserve">…er para anticiparse al origen del ciclo y la duracion de este. No obstante, a partir de los desarrollos de la RBC/TCNEK, el marco teorico se distancia de la idea de anticipacion , predictibilidad y analisis longitudinal y s…</t>
  </si>
  <si>
    <t xml:space="preserve">Rogerson; ROGERSON</t>
  </si>
  <si>
    <t xml:space="preserve">…ativamente baja. Para hacer compatible esta evidencia con las predicciones teoricas de los modelos de la TCR, Rogerson (1988) y Hansen (1985) introducen la indivisibilidad del factor trabajo. Los trabajadores deben decidir entre…</t>
  </si>
  <si>
    <t xml:space="preserve">ROGERSON</t>
  </si>
  <si>
    <t xml:space="preserve">…roduccion de impuestos distorsionantes (BAXTER y KING, 1993; CAMPBELL, 1994), produccion domestica (BENHABIB, ROGERSON y WRIGHT, 1991; GREENWOOD y HERCOWITZ, 1991) o riesgo de ingresos idiosincratico no asegurable (KRUSELL y SMI…</t>
  </si>
  <si>
    <t xml:space="preserve">modelo de inconsistencia</t>
  </si>
  <si>
    <t xml:space="preserve">…contramos modelos como el modelo de relacion entre produccion, precios y oferta monetaria de LUCAS (1972), el modelo de inconsistencia de la politica economica en un contexto dinamico de KYDLAND y PRESCOTT (1977) o el Modelo del Ciclo Real en s…</t>
  </si>
  <si>
    <t xml:space="preserve">inconsistencia dinamica</t>
  </si>
  <si>
    <t xml:space="preserve">…o: una politica que funcione hoy puede dejar de hacerlo si los agentes cambian sus expectativas (problemas de inconsistencia dinamica). LUCAS exploro tambien temas de crecimiento, estructura urbana, comercio internacional, activos financieros,…</t>
  </si>
  <si>
    <t xml:space="preserve">Compromisos: Inconsistencia dinamica</t>
  </si>
  <si>
    <t xml:space="preserve">inconsistencia dinamica; Inconsistencia dinamica</t>
  </si>
  <si>
    <t xml:space="preserve">…ente. El modelo puede extenderse, introduciendo fenomenos adicionales como auditorias de costes, problemas de inconsistencia dinamica por parte del regulador (ratchet effects), regulatory lag o la captura del regulador, entre otros. Estas nuev…</t>
  </si>
  <si>
    <t xml:space="preserve">inconsistencia dinamica; Inconsistencia temporal; inconsistencia intertemporal; Inconsistencia Dinamica</t>
  </si>
  <si>
    <t xml:space="preserve">…ctuacion del Sector Publico puede ser intertemporalmente inconsistente. Ello puede deberse a los problemas de inconsistencia dinamica identificados por Kydland y Prescott o bien por las ineficiencias intertemporales derivadas de la economia po…</t>
  </si>
  <si>
    <t xml:space="preserve">Inconsistencia dinamica</t>
  </si>
  <si>
    <t xml:space="preserve">…diferentes generaciones. Por tanto, optimo de Pareto y optimo del planificador dejarian de ser equivalentes. Inconsistencia dinamica . Como en el modelo de generaciones solapadas el resultado de consumo y de ahorro de mercado no siempre sera…</t>
  </si>
  <si>
    <t xml:space="preserve">inconsistencia temporal</t>
  </si>
  <si>
    <t xml:space="preserve">…(modelos con restricciones de liquidez), asumir que la funcion de utilidad del consumo cambia con el tiempo (inconsistencia temporal de preferencias) o especificar alguna forma concreta de expectativas sobre la renta futura (modelos de cuasi-…</t>
  </si>
  <si>
    <t xml:space="preserve">…de precios. La discrecionalidad puede conducir a resultados suboptimos como consecuencia de los problemas de inconsistencia dinamica. Por ello, la adopcion de reglas o de un conjunto de principios sistematicos de conducta otorgan al banco cen…</t>
  </si>
  <si>
    <t xml:space="preserve">La empresa y las decisiones de inversión</t>
  </si>
  <si>
    <t xml:space="preserve">…almente de dos formas. Contingencias futuras: inconsistencias dinamica En primer lugar, mediante problemas de inconsistencia dinamica, en los que una inversion que resulta optima en el momento inicial puede dejar de serlo una vez se materializ…</t>
  </si>
  <si>
    <t xml:space="preserve">Inflacion: Modelo de inconsistencia dinamica en economia abierta (GIAVAZZI y PAGANO, 1988)</t>
  </si>
  <si>
    <t xml:space="preserve">Modelo de inconsistencia; inconsistencia dinamica</t>
  </si>
  <si>
    <t xml:space="preserve">…biarias); El desarrollo de los mercados financieros; y Aspectos politicos. lnum Equilibrio interno Inflacion: Modelo de inconsistencia dinamica en economia abierta (GIAVAZZI y PAGANO, 1988) Eq_Interno_Inflacion.png Resumen: Control de la Inflac…</t>
  </si>
  <si>
    <t xml:space="preserve">…ELSON, y condujo a deterioros significativos de sus posiciones competitivas. Politicas monetarias nacionales, inconsistencia temporal y credibilidad La idea de que, cuando el gobierno sigue determinadas politicas, juega un juego con el sector…</t>
  </si>
  <si>
    <t xml:space="preserve">Teorías explicativas de las crisis de balanza de pagos</t>
  </si>
  <si>
    <t xml:space="preserve">…finitiva, los modelos de segunda generacion pueden verse como una manifestacion cambiaria de los problemas de inconsistencia dinamica: para que una serie de objetivos e instrumentos de Politica Economica pueda catalogarse como dinamicamente co…</t>
  </si>
  <si>
    <t xml:space="preserve">inconsistencia temporal; Inconsistencia temporal</t>
  </si>
  <si>
    <t xml:space="preserve">…rge el problema de la credibilidad del gobierno frente al sector privado y el de la consistencia temporal. La inconsistencia temporal, concepto introducido por Kydland y Prescott, se refiere al problema asociado con la posibilidad de que las a…</t>
  </si>
  <si>
    <t xml:space="preserve">…en el futuro y donde los costes asociados a su intervencion no sean exorbitantes. PARLASCA (2021) resalta la inconsistencia temporal del supervisor, donde pone de manifiesto las ventajas de ser exigente y rigido ex-ante para incentivar un com…</t>
  </si>
  <si>
    <t xml:space="preserve">inconsistencia temporal; inconsistencia intertemporal</t>
  </si>
  <si>
    <t xml:space="preserve">La OMC</t>
  </si>
  <si>
    <t xml:space="preserve">…oderosos como para bloquear politicas redistributivas. Una version particular de este argumento se basa en la inconsistencia temporal de la promesa de compensar a los perdedores. Supongamos que la firma de un acuerdo comercial requiere que al…</t>
  </si>
  <si>
    <t xml:space="preserve">…os en el tamano del sector publico, que ya es ineficientemente grande. Esta discusion esta relacionada con la inconsistencia temporal de la politica optima, que se produce cuando el gobierno no puede implementar una politica fiscal optima porq…</t>
  </si>
  <si>
    <t xml:space="preserve">…, tiene un incentivo estructural a descontar excesivamente el futuro frente al presente. El mismo problema de inconsistencia temporal que la literatura de economia politica (ALESINA, TABELLINI y otros) ha documentado repetidamente en democraci…</t>
  </si>
  <si>
    <t xml:space="preserve">…, en cambio, el individuo aplica un descuento adicional a todo lo que no es presente inmediato, lo que genera inconsistencia temporal : los planes que hace hoy para el futuro no son los que querra cumplir cuando ese futuro llegue. Supongamos u…</t>
  </si>
  <si>
    <t xml:space="preserve">…r sus costes. Dewatripont y Maskin (1995, *Review of Economic Studies*) la reformularon como un problema de **inconsistencia temporal**. Una vez hundidos los costes de un proyecto, al financiador le conviene rescatarlo *ex post*, aunque *ex an…</t>
  </si>
  <si>
    <t xml:space="preserve">Atarse las manos en economía abierta (Giavazzi-Pagano 1988)</t>
  </si>
  <si>
    <t xml:space="preserve">GIAVAZZI y PAGANO</t>
  </si>
  <si>
    <t xml:space="preserve">…ion privada. BATINI et al. (2014) se plantean si las consolidaciones fiscales pueden ser expansivas. Tambien: GIAVAZZI y PAGANO, 1990; ALESINA y PEROTTI, 1996. Por otro lado, parece ser que estos efectos de la consolidacion fiscal son se…</t>
  </si>
  <si>
    <t xml:space="preserve">…Aspectos politicos. lnum Equilibrio interno Inflacion: Modelo de inconsistencia dinamica en economia abierta (GIAVAZZI y PAGANO, 1988) Eq_Interno_Inflacion.png Resumen: Control de la Inflacion Apuntes Victor Gutierrez. Tema 3.B.15 Uno de…</t>
  </si>
  <si>
    <t xml:space="preserve">Giavazzi y Pagano</t>
  </si>
  <si>
    <t xml:space="preserve">…as, con preferencias blandas , han dejado de existir y, por tanto, no pueden devaluar la lira. En palabras de Giavazzi y Pagano (1988), Italia ha tomado prestada credibilidad de Alemania, porque su gobierno tiene las manos monetarias fir…</t>
  </si>
  <si>
    <t xml:space="preserve">Política Presupuestaria (VI): Saldo presupuestario y deuda de las Administraciones Públicas en España</t>
  </si>
  <si>
    <t xml:space="preserve">…la CEE, y desde 1989 el SME, introducen por primera vez un ancla externa. Con esto, Espana materializo lo que GIAVAZZI y PAGANO (1988) concibieron como atarse las manos : un pais con baja credibilidad antiinflacionista importa la del Bun…</t>
  </si>
  <si>
    <t xml:space="preserve">Banquero central conservador (Rogoff 1985)</t>
  </si>
  <si>
    <t xml:space="preserve">Mecanismos de ajuste de la Balanza de Pagos</t>
  </si>
  <si>
    <t xml:space="preserve">ROGOFF (1985)</t>
  </si>
  <si>
    <t xml:space="preserve">…delo de OBSTFELD-ROGOFF: Dos periodos Para introducir este nuevo enfoque, presentaremos el modelo de OBSTFELD-ROGOFF (1985), basado en la tradicion Neoclasica, y formulado en un horizonte de dos periodos. Supongamos que se trata de u…</t>
  </si>
  <si>
    <t xml:space="preserve">…consumo con restricciones de capital Para introducir este nuevo enfoque, presentaremos el modelo de OBSTFELD-ROGOFF (1985), basado en la tradicion Neoclasica, y formulado en un horizonte de dos periodos. Supongamos que se trata de u…</t>
  </si>
  <si>
    <t xml:space="preserve">Barro-Gordon (1983)</t>
  </si>
  <si>
    <t xml:space="preserve">BARRO y GORDON</t>
  </si>
  <si>
    <t xml:space="preserve">…rora se repita con represalias; La modelizacion de estos efectos reputacionales se deriva de la aportacion de BARRO y GORDON (1983), segun la cual los agentes privados haran demandas de salarios contenidas (i.e. bajas expectativas de…</t>
  </si>
  <si>
    <t xml:space="preserve">Barro y Gordon</t>
  </si>
  <si>
    <t xml:space="preserve">…es precisamente lo que buscaban destacar GIAVAZZI y PAGANO con su modelo, que es una extension del modelo de Barro y Gordon para dos economias. Ahora bien, conviene hacer una importante matizacion al respecto y es que para que el Tip…</t>
  </si>
  <si>
    <t xml:space="preserve">BARRO y GORDON; Barro-Gordon</t>
  </si>
  <si>
    <t xml:space="preserve">…o la teoria macroeconomica desde la publicacion de los articulos fundamentales de KYDLAND y PRESCOTT (1977) y BARRO y GORDON (1983). En particular, la reputacion que adquieren los gobiernos al aplicar las politicas anunciadas tiene un…</t>
  </si>
  <si>
    <t xml:space="preserve">Contrato óptimo (Walsh 1995)</t>
  </si>
  <si>
    <t xml:space="preserve">WALSH (1995)</t>
  </si>
  <si>
    <t xml:space="preserve">…lecimiento de contratos entre el Gobierno y el Banco Central, encargado de la politica monetaria. Siguiendo a WALSH (1995) o PERSSON y TABELLINI (1993), se modifica la funcion de perdida de las autoridades monetarias, anadiendo un t…</t>
  </si>
  <si>
    <t xml:space="preserve">LUCAS (1972)</t>
  </si>
  <si>
    <t xml:space="preserve">…ron protector, encontramos modelos como el modelo de relacion entre produccion, precios y oferta monetaria de LUCAS (1972), el modelo de inconsistencia de la politica economica en un contexto dinamico de KYDLAND y PRESCOTT (1977) o…</t>
  </si>
  <si>
    <t xml:space="preserve">Funcion de Oferta Agregada de LUCAS (1972)</t>
  </si>
  <si>
    <t xml:space="preserve">LUCAS (1972); Lucas (1973)</t>
  </si>
  <si>
    <t xml:space="preserve">…se manifiesta mediante el problema de extraccion de senales Vease: Expectations and the Neutrality of Money , LUCAS (1972) que, entre otras, se manifiesta de la siguiente forma: Como los agentes observan un precio especifico, su pre…</t>
  </si>
  <si>
    <t xml:space="preserve">…ales. En la primera mitad de los anos 70, los autores de la NMC, a traves de la funcion de oferta agregada de LUCAS (1972) criticaron las politicas activas de estabilizacion keynesianas ya que, con base al supuesto de equilibrio con…</t>
  </si>
  <si>
    <t xml:space="preserve">Extensiones a la Teoría del Mercado de Trabajo</t>
  </si>
  <si>
    <t xml:space="preserve">modelo de las islas</t>
  </si>
  <si>
    <t xml:space="preserve">…brio. Los problemas de falta de infonnacion en el mercado de trabajo cobran especial interes, como muestra el modelo de las islas de Phelps. Este modelo analiza el comportamiento de agentes que buscan empleo en el mercado de trabajo y empr…</t>
  </si>
  <si>
    <t xml:space="preserve">FISCHER (1977); TAYLOR (1980)</t>
  </si>
  <si>
    <t xml:space="preserve">…ser lento aunque los precios cambien con frecuencia. Respecto a los efectos del solapamiento, los trabajos de FISCHER (1977) y TAYLOR (1980) indican que el solapamiento de los salarios nominales permite que el efecto de las perturbaci…</t>
  </si>
  <si>
    <t xml:space="preserve">contratos escalonados</t>
  </si>
  <si>
    <t xml:space="preserve">…r dispersion de precios relativos (pues no todas las empresas revisan los precios, dados precios a la Calvo , contratos escalonados o costes de menu). Por otro lado, existen costes para la estabilidad macroeconomica asociados a una inflacion…</t>
  </si>
  <si>
    <t xml:space="preserve">fijacion de precios a la CALVO; CALVO (1983); modelo de CALVO</t>
  </si>
  <si>
    <t xml:space="preserve">…que esta ultima adopta del enfoque de la NMC. IMPORTANTE: Una de las principales criticas dirigidas hacia la fijacion de precios a la CALVO es que no esta microfundamentada. (Mencionar o bien en las reglas de ajuste temporal de TAYLOR, NEK-1, o en l…</t>
  </si>
  <si>
    <t xml:space="preserve">fijacion de precios a la CALVO; fijacion de precios a la Calvo</t>
  </si>
  <si>
    <t xml:space="preserve">…eriguar mas al respecto, me lo ha dicho ROSELL IMPORTANTE: Una de las principales criticas dirigidas hacia la fijacion de precios a la CALVO es que no esta microfundamentada arabic page 1 Introduccion Robinson, the doyen of Cambridge radical economic…</t>
  </si>
  <si>
    <t xml:space="preserve">CALVO (1983); fijacion de precios a la CALVO</t>
  </si>
  <si>
    <t xml:space="preserve">…siguientes supuestos: lnum Rigideces nominales . Introducir rigideces de precios en la forma popularizada por CALVO (1983), como hacen GALI y MONACELLI (2005), nos permite estudiar los efectos de un shock persistente en un marco coh…</t>
  </si>
  <si>
    <t xml:space="preserve">fijacion a la CALVO</t>
  </si>
  <si>
    <t xml:space="preserve">…s en base a la HER, existen rigideces nominales (de precios en este caso, pero tambien extensible a salarios, fijacion a la CALVO ) y rigideces reales (competencia monopolistica) e informacion imperfecta . Se presentan las tres siguiente e…</t>
  </si>
  <si>
    <t xml:space="preserve">precios rigidos a la Calvo; precios a la Calvo</t>
  </si>
  <si>
    <t xml:space="preserve">…ue captura desviaciones transitorias o persistentes del coste marginal real respecto a su nivel natural. Bajo precios rigidos a la Calvo, cualquier perturbacion que eleve el coste marginal, como un aumento del precio de los insumos energeticos, d…</t>
  </si>
  <si>
    <t xml:space="preserve">fijacion de precios a la Calvo</t>
  </si>
  <si>
    <t xml:space="preserve">…on la cual ajustan precios ante cambios en la demanda (ajuste escalonado de precios, entre los que destaca la fijacion de precios a la Calvo (1983)32; y/o, (ii) las empresas estan sujetas a costes de ajuste en los precios ante cambios en la demanda (…</t>
  </si>
  <si>
    <t xml:space="preserve">Costes de menu; AKERLOF y YELLEN</t>
  </si>
  <si>
    <t xml:space="preserve">…s (FISCHER, 1977, TAYLOR, 1979); (iii) Salarios de eficiencia (SALOP, 1979, SHAPIRO y STIGLITZ, 1984); y (iv) Costes de menu (MANKIW, 1985, AKERLOF y YELLEN, 1985). Sin embargo, aunque sus aportaciones constituyeron contribuciones rel…</t>
  </si>
  <si>
    <t xml:space="preserve">Modelo de Costes de Menu: MANKIW | Modelo de Racionalidad Incompleta: AKERLOFF-YELLEN</t>
  </si>
  <si>
    <t xml:space="preserve">costes de menu; racionalidad incompleta; Costes de Menu</t>
  </si>
  <si>
    <t xml:space="preserve">…xplicar rigideces nominales y rigideces reales en un mismo apartado a traves del Mercado de Bienes (modelo de costes de menu, etc.) con el fin de justifcar la intervencion a traves de politicas de demanda . Explicar como interactuan l…</t>
  </si>
  <si>
    <t xml:space="preserve">costes de menu</t>
  </si>
  <si>
    <t xml:space="preserve">…cesario que los precios sean totalmente flexibles, algo que no ocurre en la realidad: contratos multiperiodo, costes de menu, cuasirracionalidad de los agentes, etc. Por lo tanto, como los precios no son lo suficientemente flexibles,…</t>
  </si>
  <si>
    <t xml:space="preserve">…relativos (pues no todas las empresas revisan los precios, dados precios a la Calvo , contratos escalonados o costes de menu). Por otro lado, existen costes para la estabilidad macroeconomica asociados a una inflacion volatil, que se…</t>
  </si>
  <si>
    <t xml:space="preserve">…en los precios ante cambios en la demanda (costes de ajuste a la Rotemberg (1982), la version dinamica de los costes de menu). La misma clase de poder de mercado y fricciones pueden ser introducidas en el mercado de trabajo para obten…</t>
  </si>
  <si>
    <t xml:space="preserve">Blanchard-Kiyotaki (1987)</t>
  </si>
  <si>
    <t xml:space="preserve">Modelo combinado de efectos agregados. BLANCHARD-KIYOTAKI</t>
  </si>
  <si>
    <t xml:space="preserve">BLANCHARD-KIYOTAKI; BLANCHARD y KIYOTAKI</t>
  </si>
  <si>
    <t xml:space="preserve">…sianos y que fueron rechazadas por no ser completamente maximizadoras. Modelo combinado de efectos agregados. BLANCHARD-KIYOTAKI Por su parte, BLANCHARD y KIYOTAKI (1987) formalizan de una manera mas general los efectos macroeconomicos qu…</t>
  </si>
  <si>
    <t xml:space="preserve">Caplin-Spulber (1987)</t>
  </si>
  <si>
    <t xml:space="preserve">CAPLIN</t>
  </si>
  <si>
    <t xml:space="preserve">…ituacion rebasa ciertos umbrales o bandas. No realiza, por tanto, ajustes pequenos del precio. Los modelos de CAPLIN y SPULBER (1987) o SHESHINSKI y WEISS (1977) responden a esta logica. La decision de cambiar los precios es e…</t>
  </si>
  <si>
    <t xml:space="preserve">Caplin</t>
  </si>
  <si>
    <t xml:space="preserve">…frecuentes sigue siendo un reto y los resultados siguen siendo controvertidos. Salvo en casos muy especiales (Caplin y Spulber, 1987), la agregacion requiere el seguimiento de una distribucion de agentes. Sin embargo, es preci…</t>
  </si>
  <si>
    <t xml:space="preserve">Rigideces reales (Ball-Romer 1990)</t>
  </si>
  <si>
    <t xml:space="preserve">BALL y ROMER</t>
  </si>
  <si>
    <t xml:space="preserve">…nales no son suficientes para causar efectos reales significativos, sino que se requiere de rigideces reales. BALL y ROMER (1990) demostraron que rigideces nominales sustanciales pueden provenir de una combinacion de rigideces reale…</t>
  </si>
  <si>
    <t xml:space="preserve">MANKIW y REIS; MANKIW, REIS</t>
  </si>
  <si>
    <t xml:space="preserve">…ara estabilizar la inflacion, generando grandes oscilaciones de los tipos a lo largo del ciclo. Por su parte, MANKIW y REIS (2002) plantean sustituir la rigidez o inercia de los precios por la inercia de la informacion, ya que su dif…</t>
  </si>
  <si>
    <t xml:space="preserve">Objeto: Modelo de tres ecuaciones</t>
  </si>
  <si>
    <t xml:space="preserve">NEK-2; modelo de tres ecuaciones</t>
  </si>
  <si>
    <t xml:space="preserve">…que es cada rigidez y por que los economistas de la NEK-1 las introducen: RR (desmpleo) y RN (PE de DA) lnum NEK-2: lnum En la introduccion definir claramente y de forma directa las diferencias entre ambas generaciones (lo q…</t>
  </si>
  <si>
    <t xml:space="preserve">Desempleo friccional: NEK-2 | Persistencia del desempelo: NEK-2</t>
  </si>
  <si>
    <t xml:space="preserve">NEK-2</t>
  </si>
  <si>
    <t xml:space="preserve">…cturales del mercado laboral (instituciones, tecnologias, cualificaciones o rigideces). Desempleo friccional: NEK-2 El desempleo friccional es otro de los cuatro componentes del desempleo. Puede definirise como: Definicion.-…</t>
  </si>
  <si>
    <t xml:space="preserve">…minos de intercambio [0.5em] &amp; = (1- )(1- ) Grado de rigideces locales aligned . [1em] &amp; De hecho, si 0 ( + ) NEK-2 [1em] &amp; &amp; C_t^ N_t^ = W_t P_t w_t-p_t= c_t+ n_t c_t= E_t[c_ t+1 ]- 1 (i_t- E_t[ _ t+1 ]- ) aligned ] [1em] &amp;…</t>
  </si>
  <si>
    <t xml:space="preserve">…desde el enfoque caracteristico de los autores de la NMC hasta las nuevas aportaciones dentro del marco de la NEK-2. lnum El dinero: el concepto central de la Teoria Monetaria En las economias modernas, el dinero es dinero fi…</t>
  </si>
  <si>
    <t xml:space="preserve">La cuantificacion de sus efectos: modelo de la NEK-2</t>
  </si>
  <si>
    <t xml:space="preserve">NEK-2; Modelo de tres ecuaciones</t>
  </si>
  <si>
    <t xml:space="preserve">…sion de la politica monetaria hacia la inversion y el consumo. La cuantificacion de sus efectos: modelo de la NEK-2 Hasta ahora hemos visto los cinco canales convencionales de transmision de la Politica Monetaria desde una pe…</t>
  </si>
  <si>
    <t xml:space="preserve">Rigideces y Autoridad Monetaria: NEK-2</t>
  </si>
  <si>
    <t xml:space="preserve">…Falta incorporar mucho contenido en la segunda. Principalmente, modelos de TCR y (puede que) el modelo de la NEK-2 con gasto publico. Ademas, hay que desarrollar el apartado posterior a los modelos relativos a Sistemas de Pr…</t>
  </si>
  <si>
    <t xml:space="preserve">Multiplicador Fiscal: NEK-2</t>
  </si>
  <si>
    <t xml:space="preserve">…an por incorporar rigideces nominales con el fin de abrir la puerta al mecanismo de DA. Multiplicador Fiscal: NEK-2 Esta es precisamente la piedra angular de los modelos de la NEK-2, cuyas defensa al uso activo de la Politica…</t>
  </si>
  <si>
    <t xml:space="preserve">NAIRU: NEK-2 | Shocks de oferta: Marco NEK-2 | Modelo NEK-2: ZLB y forward-guidance | NEK-2: Efectos sobre la Eficiencia y el Bienestar</t>
  </si>
  <si>
    <t xml:space="preserve">…Monetario: Monetaristas y NMC; (ii) Enfoque de Demanda: Teoria Fiscal de Precios; y, (iii) Enfoque de Oferta: NEK-2 (la existencia de mark-ups en la determinacion del precio es un factor esencial de la inflacion por la preser…</t>
  </si>
  <si>
    <t xml:space="preserve">NEK --- 2; NEK-2</t>
  </si>
  <si>
    <t xml:space="preserve">…al - Hay persistencia? Como se puede introducir? - Que es la elasticidad de sustitucion intertemporal? Ciclos NEK --- 20.20 - Explicaria un poco mas como has obtenido las funciones IS y NKCP - Que es lo que explica que haya ciclo…</t>
  </si>
  <si>
    <t xml:space="preserve">Aproximacion analitica (NEK-2): Efecto desbordamiento</t>
  </si>
  <si>
    <t xml:space="preserve">modelo de tres ecuaciones; NEK-2</t>
  </si>
  <si>
    <t xml:space="preserve">…tura la teoria de la economia abierta (de la cual este es el ultimo tema), y de macroeconomia (en especial el modelo de tres ecuaciones de la NEK); y, Aplicar este conocimiento (asi como la Teoria de Juegos) de manera aplicada al estudio de una…</t>
  </si>
  <si>
    <t xml:space="preserve">Carlin-Soskice (2005)</t>
  </si>
  <si>
    <t xml:space="preserve">Carlin &amp; Soskice</t>
  </si>
  <si>
    <t xml:space="preserve">…cion, lo que les ha llevado a mantener sus divisas infravaloradas y a acumular reservas. En el Capitulo 11 de Carlin &amp; Soskice (2015) se hace una explicacion sencilla de como pueden surgir desequilibrios globales cuando algunos paises s…</t>
  </si>
  <si>
    <t xml:space="preserve">NK con desempleo (Blanchard-Galí 2010)</t>
  </si>
  <si>
    <t xml:space="preserve">BLANCHARD y GALI</t>
  </si>
  <si>
    <t xml:space="preserve">…o como la Divina Coincidencia (hallada por ROTEMBERG y WOODFORD (2005), pese a que el termino fue acunado por BLANCHARD y GALI (2005)). Esto supone que los bancos centrales tienen que centrarse unicamente en el objetivo de inflacion y c…</t>
  </si>
  <si>
    <t xml:space="preserve">Blanchard y Gali; BLANCHARD y GALI</t>
  </si>
  <si>
    <t xml:space="preserve">…completo del Modelo DPM, equilibroi parcial en el mercado de trabajo, vease [ Ver Tema 3.A.26 ] El modelo de Blanchard y Gali (2010) recoge de forma manejable los elementos basicos de los modelos neokeynesianos con fricciones de busque…</t>
  </si>
  <si>
    <t xml:space="preserve">…lidad del modelo. El principal exponente actual de los modelos de equilibrio general, los denominados modelos DSGE Dynamc Stochastic General Equilibrium (en todas sus variantes), obvian fenomenos e interacciones que se recon…</t>
  </si>
  <si>
    <t xml:space="preserve">…aria comprendido entre dos y tres. A dia de hoy, este calculo se considera excesivamente elevado. Los modelos DSGE utilizados actualmente en macroeconomia no suelen encontrar un efecto multiplicador muy superior a uno. Las e…</t>
  </si>
  <si>
    <t xml:space="preserve">equilibrio general dinamico estocastico</t>
  </si>
  <si>
    <t xml:space="preserve">…rgo, en instituciones internacionales y en programas de estudio de master y doctorado el empleo de modelos de equilibrio general dinamico estocastico es mas comun. El modelo IS/LM parte de la especificacion de los principales determinantes de las variables ma…</t>
  </si>
  <si>
    <t xml:space="preserve">…. Ademas, los modelos de equilibrio general desarrollados a raiz de las aportaciones de la NMC (TCR y modelos DSGE Neo-Keynesianos) necesitan de una elasticidad alta para poder reproducir los principales hechos estilizados r…</t>
  </si>
  <si>
    <t xml:space="preserve">DSGE; DGSE</t>
  </si>
  <si>
    <t xml:space="preserve">…Autores y Universidad de referencia Metodo Basicamente, se aceptan los principios definitorios de los modelos DSGE: agentes racionales, cuyas decisiones estan microfundamentadas en un contexto dinamico y de equilibrio genera…</t>
  </si>
  <si>
    <t xml:space="preserve">equilibrio general dinamico y estocastico; DSGE</t>
  </si>
  <si>
    <t xml:space="preserve">…ia en los temas de macroeconomia, el poder de mercado es una caracteristica basica de los modelos actuales de equilibrio general dinamico y estocastico (DSGE), con la introduccion de la formulacion a la Dixit y Stiglitz. El Fondo Monetario Internacional, en el…</t>
  </si>
  <si>
    <t xml:space="preserve">equilibrio general dinamico y estocastico</t>
  </si>
  <si>
    <t xml:space="preserve">…nsporte de los bienes y los costes de movilidad del trabajo. , 3.5.3.5. Espana En Espana se utiliza modelo de equilibrio general dinamico y estocastico EREMS, elaborado por el Ministerio de Economia, la Universidad de Valencia, Fundacion Rafael del Pino y BBVA…</t>
  </si>
  <si>
    <t xml:space="preserve">…la NAIRU. que sirve tambien para anali7.ar la persistencia del desempleo; y, Segundo, se desarrolla un modelo DSGE de la NEK en el que el mercado de trabajo se incorpora a traves de un modelo de busqueda y emparejamiento. Se…</t>
  </si>
  <si>
    <t xml:space="preserve">…de periodos: sirven de herramienta basica para los modelos de crecimiento a la Ramsey, asi como a los modelos DSGE de ciclo economico. Los modelos de generaciones solapadas (MGS) incorporan la existencia de dos (o mas) tipos…</t>
  </si>
  <si>
    <t xml:space="preserve">equilibrio general dinamico estocastico; DSGE</t>
  </si>
  <si>
    <t xml:space="preserve">…de modelos monetarios que incorporan competencia imperfecta y rigideces nominales dentro de una estructura de equilibrio general dinamico estocastico (DSGE), que durante mucho tiempo habia sido el rasgo distintivo de la teoria de los ciclos reales (RBC). En l…</t>
  </si>
  <si>
    <t xml:space="preserve">…os como estos enfoques han sido incorporados a la modelizacion macroeconomica moderna a traves de los modelos DSGE, desde el enfoque caracteristico de los autores de la NMC hasta las nuevas aportaciones dentro del marco de l…</t>
  </si>
  <si>
    <t xml:space="preserve">…ro problema economico, dando a la Teoria Economica su razon ultima de existir. lnum Estos modelos son de tipo DSGE y, por su naturales, son ademas inmunes a la conocida critica de LUCAS pues se trata de modelos microfundamen…</t>
  </si>
  <si>
    <t xml:space="preserve">…iacion varie a lo largo del tiempo, ya que se trata de un parametro exogeno. Asi, bajo los supuestos estandar DSGE de expectativas racionales, una caida sostenida del poder de negociacion de los trabajadores queda sin explic…</t>
  </si>
  <si>
    <t xml:space="preserve">…nominales de Phelps-Lucas, se impondran los modelos de ciclos reales (real business cycle o RBC), modelos de equilibrio general dinamico y estocastico (DSGE) en el marco (y con los supuestos) de la Nueva macroeconomia clasica. Pero su incapacidad para explicar…</t>
  </si>
  <si>
    <t xml:space="preserve">…su posicion inversora internacional neta (PIIN). A partir de los anos 80's, con el desarrollo de los modelos DSGE y la revolucion metodologica auspciada por la critica de LUCAS la atencion del analisis teorico se centro en…</t>
  </si>
  <si>
    <t xml:space="preserve">Análisis de los instrumentos y de los mercados de derivados</t>
  </si>
  <si>
    <t xml:space="preserve">…ormados mediante HER, creando una estructura temporal de la distribucion asociado a otros marcos de modelaje (DSGE). Contratos de permuta: Obligacion continuada Conocemos ya dos de los instrumentos derivados mas conocidos/po…</t>
  </si>
  <si>
    <t xml:space="preserve">Cambio Climático y su impacto en la economía</t>
  </si>
  <si>
    <t xml:space="preserve">DSGE; Dynamic Stochastic General Equilibrium</t>
  </si>
  <si>
    <t xml:space="preserve">…bito macroeconomico, el analisis del cambio climatico se ha completado gracias al desarrollo de los modelos E-DSGE (Environmental Dynamic Stochastic General Equilibrium). Esta categoria de modelos incluye desde ligeras modif…</t>
  </si>
  <si>
    <t xml:space="preserve">El origen del euro</t>
  </si>
  <si>
    <t xml:space="preserve">dynamic stochastic general equilibrium; DSGE</t>
  </si>
  <si>
    <t xml:space="preserve">…midores y empresas. La mayoria de los modelos que utiliza el Eurosistema para analizar el ciclo economico son dynamic stochastic general equilibrium models (DSGE). con economia abierta y rigideces y fricciones financieras. Un conocido modelo es el New Area W…</t>
  </si>
  <si>
    <t xml:space="preserve">E-DSGE (clima)</t>
  </si>
  <si>
    <t xml:space="preserve">E-DSGE</t>
  </si>
  <si>
    <t xml:space="preserve">…ambito macroeconomico, el analisis del cambio climatico se ha completado gracias al desarrollo de los modelos E-DSGE (Environmental Dynamic Stochastic General Equilibrium). Esta categoria de modelos incluye desde ligeras modif…</t>
  </si>
  <si>
    <t xml:space="preserve">HANK (agentes heterogéneos)</t>
  </si>
  <si>
    <t xml:space="preserve">Hank</t>
  </si>
  <si>
    <t xml:space="preserve">…ad estructural, justificados por razones de conveniencia administrativa. La razon de fondo, bien resumida por Hank Gutman -antiguo Chief of Staff del propio JCT- es esta: el impuesto sobre la renta se basa en periodos anuale…</t>
  </si>
  <si>
    <t xml:space="preserve">basados en agentes</t>
  </si>
  <si>
    <t xml:space="preserve">…como en las explicaciones propuestas para estos. Los modelos que incorporan dinamicas caoticas o los modelos basados en agentes -mas relevantes en la actualidad- son ejemplos de que la existencia de la emergencia y la necesidad de explic…</t>
  </si>
  <si>
    <t xml:space="preserve">Agent-Based</t>
  </si>
  <si>
    <t xml:space="preserve">…iento. Para mas informacion acerca de los aceleradores de la crisis, vease: Inside job (2010) Algunos modelos Agent-Based han probado que, de haber mantenido los tipos constantes que se estaban ofreciendo en 1997 (altos) o habiendo…</t>
  </si>
  <si>
    <t xml:space="preserve">Modelos Agent-Based : Simulacion dinamica | Construccion de un MABM: Macroeconomic Agent-Based Model</t>
  </si>
  <si>
    <t xml:space="preserve">Agent-Based; basados en agentes</t>
  </si>
  <si>
    <t xml:space="preserve">…vertir (como sucede en la flecha de transicion superior), aumentando la probabilidad de transicionar. Modelos Agent-Based : Simulacion dinamica Otra metodo para analizar el comportamiento de los agentes introduciendo la variable te…</t>
  </si>
  <si>
    <t xml:space="preserve">Basados en Agentes; agent-based; basados en agentes</t>
  </si>
  <si>
    <t xml:space="preserve">…n resultado en constante mutacion/variacion/alteracion? Este es precisamente el enfoque que toman los Modelos Basados en Agentes, que dicen ser bottom-up . El mas celebre de estos en la materia es el recientemente publicado por un grupo i…</t>
  </si>
  <si>
    <t xml:space="preserve">ABM; basados en agentes</t>
  </si>
  <si>
    <t xml:space="preserve">…distinguir cambios fundamentales o burbuja. Economia de la Complejidad: Caos specialblock Introduccion a los ABM y recopilatorio de uso -- Guia Banco de Espana Abstract: En la ultima decada, los modelos basados en agentes…</t>
  </si>
  <si>
    <t xml:space="preserve">VAR</t>
  </si>
  <si>
    <t xml:space="preserve">…oblema de origen cualitativo en la generacion de ciclos a traves de los impulsos tecnologicos. GALI estima un VAR en el cual identifica los shocks tecnologicos como la unica fuente de fluctuacion en el largo plazo. Sorprend…</t>
  </si>
  <si>
    <t xml:space="preserve">…n shock persistente en un marco coherente con las funciones de respuesta al impulso derivadas de la evidencia VAR; Tipo de cambio real y nominal dinamicos . Como vemos, la introduccion de un ligero sesgo hacia el consumo do…</t>
  </si>
  <si>
    <t xml:space="preserve">VAR; vectores autoregresivos</t>
  </si>
  <si>
    <t xml:space="preserve">…de endogeneidad en las correlaciones y especificaciones econometricas, Sims, utilizando como instrumental los VAR (Vector AutoRregression) ofrece una prueba mucho mas solida acerca de la relacion entre dinero y output. En c…</t>
  </si>
  <si>
    <t xml:space="preserve">vectores autorregresivos; VAR</t>
  </si>
  <si>
    <t xml:space="preserve">…termometro del sentimiento de los inversores. The Global Financial Cycle . REY (2021) Mediante un analisis de vectores autorregresivos (VAR) encuentra que uno de los principales determinantes del ciclo financiero global es la Politica Monetaria…</t>
  </si>
  <si>
    <t xml:space="preserve">SVAR</t>
  </si>
  <si>
    <t xml:space="preserve">…uelen encontrar un efecto multiplicador muy superior a uno. Las estimaciones empiricas realizadas con modelos SVAR y otras tecnicas aumentan el rango de posibles valores del multiplicador, pero nunca en niveles tan elevados.…</t>
  </si>
  <si>
    <t xml:space="preserve">VAR estructural</t>
  </si>
  <si>
    <t xml:space="preserve">…e al respecto es el de EVANS y EICHENBAUM (2005), que se inscribe en la literatura moderna utilizando modelos VAR estructurales para identificar shocks de politica monetaria de manera mas creible. A diferencia de los enfoques anteriore…</t>
  </si>
  <si>
    <t xml:space="preserve">…ces nominales. Sin embargo, el trabajo empirico realizado en tos 80 y 90 a traves de la estimacion de modelos SVAR indicaban que al menos en el corto plazo los instrumentos de politica monetaria tenian impactos sobre la acti…</t>
  </si>
  <si>
    <t xml:space="preserve">ARIMA</t>
  </si>
  <si>
    <t xml:space="preserve">…orales y guiar la seleccion de modelos apropiados, como los modelos autorregresivos de media movil integrada (ARIMA). ACFyPACF.png Ejemplo de ACF y PACF SHUMWAY y STOFFER (2017). Apuntes ICEX-CECO. Tema 3.A.29 specialblock Hi…</t>
  </si>
  <si>
    <t xml:space="preserve">…na de las herramientas mas utilizadas internacionalmente son los programas TRAMO (Time series Regression with ARIMA noise, Missing values and Outliers) y SEATS (Signal Extraction in ARIMA Time Series), desarrollados por Gomez…</t>
  </si>
  <si>
    <t xml:space="preserve">…nto mas caracteristico es poder tratar con volatilidades no constantes (a diferencia de los modelos dinamicos ARIMA (p,d,q)) . Correlaciones . Otro metodo tradicional en la gestion de riesgo de mercado es mediante el analisis…</t>
  </si>
  <si>
    <t xml:space="preserve">ARCH; GARCH</t>
  </si>
  <si>
    <t xml:space="preserve">…erosas metodologias, entre las mas destacadas: (i) los EWMA (Exponentially Weighted Moving Average); (ii) los ARCH (Autoregressive Conditional Heteroscedasticity); y/o, (iii) los GARCH (Generalized Autoregressive Conditional…</t>
  </si>
  <si>
    <t xml:space="preserve">GARCH</t>
  </si>
  <si>
    <t xml:space="preserve">…idas (por ejemplo, el VaR o el ECL), modelos de prediccion basados en las varianzas (por ejemplo, los modelos GARCH o los EWMA), la gestion de la duracion, etc. Nos interesa no obstante la segunda: el caso en el que varios ag…</t>
  </si>
  <si>
    <t xml:space="preserve">renta permanente</t>
  </si>
  <si>
    <t xml:space="preserve">…ero M^d / P con solo pasar el nivel de precios P del otro lado de la ecuacion. Reordenando e introduciendo la renta permanente Y_p como equivalente anualizado de la riqueza: Es determinante que la funcion de demanda de dinero dependa de…</t>
  </si>
  <si>
    <t xml:space="preserve">…al de la renta que el agente va a percibir a lo largo de su vida. Esto esta muy relacionado con la idea de la renta permanente de FRIEDMAN: el efecto de un aumento en la renta sera diferente si el aumento se produce solo en la actualida…</t>
  </si>
  <si>
    <t xml:space="preserve">Hipotesis de la Renta Permanente: FRIEDMAN</t>
  </si>
  <si>
    <t xml:space="preserve">renta permanente; Renta Permanente</t>
  </si>
  <si>
    <t xml:space="preserve">…n En primer lugar, analizaremos el consumo bajo certidumbre desde el modelo de Keynes hasta las teorias de la renta permanente de Friedman o la teoria de ciclo vital de Ando y Modigliani, los cuales se centran en las decisiones de consu…</t>
  </si>
  <si>
    <t xml:space="preserve">…nda de dinero es estable y no sensible al tipo de interes . La demanda de dinero depende principalmente de la renta permanente, pues al ser todos los activos (financieros y reales) y no solo los bonos, sustitutivos del dinero, los cambi…</t>
  </si>
  <si>
    <t xml:space="preserve">…urva LM . Rechazan que la demanda de dinero sea tan inestable ya que, argumentan, depende esencialmente de la renta permanente y poco del tipo de interes nominal, puesto que los agentes pueden distribuir su riqueza entre una multitud de…</t>
  </si>
  <si>
    <t xml:space="preserve">…no aumenta la demanda de dinero, sino solo la de bienes (para los monetaristas depende fundamentalmente de la renta permanente, sin embargo, BLINDER y SOLOW siguen en este caso las tesis keynesianas. Recordemos que para los keynesianos…</t>
  </si>
  <si>
    <t xml:space="preserve">…ones temporales frente a permanentes de las variables fiscales. El mecanismo subyacente es la hipotesis de la renta permanente. En este sentido, las decisiones de los agentes de consumo e inversion no responden significativamente ante c…</t>
  </si>
  <si>
    <t xml:space="preserve">…e bonos extranjeros en moneda nacional. Se trata, fundamentalmente, de la incorporacion de la hipotesis de la renta permanente. lnum Desarrollo formal: McKINNON y BRANSON Presentemos una version simple del modelo propuesto por McKINNON…</t>
  </si>
  <si>
    <t xml:space="preserve">Financiación exterior del desarrollo económico</t>
  </si>
  <si>
    <t xml:space="preserve">Renta Permanente</t>
  </si>
  <si>
    <t xml:space="preserve">…egacion del comportamiento de los agentes individuales, a los que se supone actuando segun la Hipotesis de la Renta Permanente (HRP). La base de este enfoque es que una economia abierta, en contraste con la situacion de autarquia, puede…</t>
  </si>
  <si>
    <t xml:space="preserve">…nta la renta, lo que sugiere que el impuesto es regresivo. Otros investigadores creen que alguna medida de la renta permanente es mas relevante para comprender las decisiones sobre vivienda. Segun esta perspectiva, el hecho de que la re…</t>
  </si>
  <si>
    <t xml:space="preserve">…rcion del consumo total del hogar. Este segundo metodo siendo, segun POTERBA, un proxy mucho mas fiable de la renta permanente o vitalicia, precisamente porque las familias tienden a ajustar su nivel de consumo a su renta esperada de la…</t>
  </si>
  <si>
    <t xml:space="preserve">…un modelo con agentes ricardianos o con primas de riesgo endogenas, una consolidacion creible puede elevar la renta permanente esperada y reducir los tipos, y el efecto riqueza puede superar el efecto demanda directo, dando un multiplic…</t>
  </si>
  <si>
    <t xml:space="preserve">Campbell-Mankiw (1989)</t>
  </si>
  <si>
    <t xml:space="preserve">CAMPBELL y MANKIW</t>
  </si>
  <si>
    <t xml:space="preserve">…s sera mas sensible a la renta actual; y, Racionalidad limitada, comportamiento miope o falta de informacion (CAMPBELL y MANKIW y THALER): Aunque los mercados de capital fueran perfectos, si una fraccion de los consumidores son miopes y…</t>
  </si>
  <si>
    <t xml:space="preserve">Hall-Mishkin (1982)</t>
  </si>
  <si>
    <t xml:space="preserve">HALL y MISHKIN; Hall-Mishkin; Hall y Mishkin</t>
  </si>
  <si>
    <t xml:space="preserve">…st ,&amp;&amp; y_ Lt N(0, _L) y, y_ st AR(1) [0.5em] aligned . aligned Regresiones de contrastacion empirica: HALL y HALL y MISHKIN. Demanda de consumo corriente: HALL Por tanto, el modelo de HALL permite reconciliar la Hipotesis de la Renta…</t>
  </si>
  <si>
    <t xml:space="preserve">Paseo aleatorio del consumo (Hall 1978)</t>
  </si>
  <si>
    <t xml:space="preserve">paseo aleatorio de HALL</t>
  </si>
  <si>
    <t xml:space="preserve">…entender lo de LELAND (1968) y SANDMO (1970) - Util para [Tema 3.A.33] de demanda de consumo en la teoria del paseo aleatorio de HALL (1978). En este articulo buscan explicar mecanismos para explicar como shocks de incertidumbre pueden causar…</t>
  </si>
  <si>
    <t xml:space="preserve">Paseo aleatorio: HALL</t>
  </si>
  <si>
    <t xml:space="preserve">Paseo aleatorio: HALL; HALL (1978); Paseo aleatorio. Demanda de consumo corriente: HALL</t>
  </si>
  <si>
    <t xml:space="preserve">…de riqueza de ricos y pobres pueden ser explicados sin necesidad de acudir a diferencias en sus preferencias. Paseo aleatorio: HALL Una de las caracteristicas mas simples y elegantes del modelo del ciclo vital es la forma en maneja la variab…</t>
  </si>
  <si>
    <t xml:space="preserve">Stock amortiguador / ahorro precautorio (Carroll)</t>
  </si>
  <si>
    <t xml:space="preserve">ahorro precautorio</t>
  </si>
  <si>
    <t xml:space="preserve">…macroeconomico base, con una funcion de utilidad CRRA, el comportamiento precautorio aparece tipicamente como ahorro precautorio y por tanto un aumento en la incertidumbre conduce a una mayor demanda de ahorros, reduciendo el tipo de inte…</t>
  </si>
  <si>
    <t xml:space="preserve">…ion racional. Para resolverlo, muchas teorias fueron presentadas con el fin de reconciliarlo, entre otras, el ahorro precautorio, las restricciones de liquidez o la demanda/stock de bienes duraderos. Los propios autores, tras un examen ma…</t>
  </si>
  <si>
    <t xml:space="preserve">…real de los agentes (poder adquisitivo) les conduce a consumir menos (por la PMC) y ahorrar mas (por ejemplo, ahorro precautorio) y, en consecuencia, reduce la renta/produccion agregada de la economia. lnum Analiticamente, pueden observar…</t>
  </si>
  <si>
    <t xml:space="preserve">…Gasto Publico incide directamente sobre la renta a traves de diferentes vias sin mostrar un comportamiento de ahorro precautorio o no-asignacion de recursos (todo lo que entra sale); y, (ii) este aumento de la renta generado por un impuls…</t>
  </si>
  <si>
    <t xml:space="preserve">buffer stock</t>
  </si>
  <si>
    <t xml:space="preserve">…tintiva es que MMT propone sustituir el ancla tipo NAIRU (desempleo como disciplina antiinflacionaria) por un buffer stock de empleo via job guarantee , ligado a conceptos como NAIBER. Inflacion: Fenomeno de Oferta Por ultimo, debem…</t>
  </si>
  <si>
    <t xml:space="preserve">ahorro precautorio; Ahorro precautorio</t>
  </si>
  <si>
    <t xml:space="preserve">…rgencias», como el desempleo o los problemas de salud.7 Este resultado ha llevado al desarrollo del modelo de ahorro precautorio, en el que el ahorro esta motivado por el deseo no solo de suavizar el consumo a lo largo del tiempo, sino ta…</t>
  </si>
  <si>
    <t xml:space="preserve">…bajadores publicos (que les confiere una mayor capacidad de ahorro) compensa su menor necesidad de contar con ahorro precautorio (ligada a la menor volatilidad de sus ingresos), generando en conjunto un efecto positivo. Por tanto, las emp…</t>
  </si>
  <si>
    <t xml:space="preserve">hipotesis del ciclo vital</t>
  </si>
  <si>
    <t xml:space="preserve">…ria del valor de la empresa mediante el desarrollo del teorema de Modigliani y Miller. Finalmente, citamos la hipotesis del ciclo vital del consumo. • Tobin. Escribe en 1958 “Liquidity Preference as Behaviour Towards Risk”. En esta obra, Tobin a…</t>
  </si>
  <si>
    <t xml:space="preserve">ANDO y MODIGLIANI</t>
  </si>
  <si>
    <t xml:space="preserve">…cience PRESCOTT. Discurso del Premio Nobel, 2004 adjustwidth Microfundamentacion Las aportaciones pioneras de ANDO y MODIGLIANI (1963), JORGENSON (1967), BAUMOL (1952) y TOBIN (1956) abrieron la puerta a la modelizacion de las principale…</t>
  </si>
  <si>
    <t xml:space="preserve">modelo de ciclo de vida</t>
  </si>
  <si>
    <t xml:space="preserve">…del mercado de trabajo. Estos sistemas crean incentivos a los trabajadores para jubilarse antes o despues. El modelo de ciclo de vida En el trabajo clasico de STOCK y WISE (1990) se hace una revision exhaustiva de las principales cuestiones en…</t>
  </si>
  <si>
    <t xml:space="preserve">Teoria del Ciclo Vital: ANDO y MODIGLIANI</t>
  </si>
  <si>
    <t xml:space="preserve">teoria de ciclo vital; Ando y Modigliani; hipotesis del ciclo vital; ANDO y MODIGLIANI</t>
  </si>
  <si>
    <t xml:space="preserve">…consumo bajo certidumbre desde el modelo de Keynes hasta las teorias de la renta permanente de Friedman o la teoria de ciclo vital de Ando y Modigliani, los cuales se centran en las decisiones de consumo en un contexto dinamico. En segundo…</t>
  </si>
  <si>
    <t xml:space="preserve">teoria del ciclo vital</t>
  </si>
  <si>
    <t xml:space="preserve">…la literatura ofrece, al menos, tres modelos en competencia. El primero, asociado a Franco Modigliani y a su teoria del ciclo vital del ahorro (formulada originalmente con Albert Ando en 1963), sostiene que el individuo ahorra fundamentalmen…</t>
  </si>
  <si>
    <t xml:space="preserve">Behavioral Life Cycle: SHREFFIN y THALER (1989)</t>
  </si>
  <si>
    <t xml:space="preserve">SHREFFIN</t>
  </si>
  <si>
    <t xml:space="preserve">…_t anormalmente alta, es decir, o bien tipos de interes muy elevados o bien un horizonte restante muy corto . SHREFFIN y THALER consideran que esto precisamente constituye una reconfirmacion de las estimaciones anteriores de FRI…</t>
  </si>
  <si>
    <t xml:space="preserve">…los inversores, ofrenciedoles mas cuando el mercado fija una prima sobre las empresas que paguen dividendos. SHREFFIN y STATMAN (1984) -- Comportamiento de las finanzas corporativas ¿por que las empresas pagan dividendos cuando…</t>
  </si>
  <si>
    <t xml:space="preserve">DUESENBERRY; renta relativa</t>
  </si>
  <si>
    <t xml:space="preserve">…las irregularidades empiricas asociadas a su teoria llevaron a desarrollos posteriores como la aportacion de DUESENBERRY quien afirmo que la satisfaccion que obtiene un individuo del consumo no depende solo de su nivel absoluto de…</t>
  </si>
  <si>
    <t xml:space="preserve">renta relativa</t>
  </si>
  <si>
    <t xml:space="preserve">…iferencial de rentas/produccion relativa . La renta nacional en relacion a la extranjera ( y-y^* ). Una mayor renta relativa provoca una mayor demanda de dinero y, por tanto, un deficit de saldos reales. Para recomponer el equilibrio…</t>
  </si>
  <si>
    <t xml:space="preserve">…t 2024 proyecta que la tasa de reemplazo en la jubilacion caera en Espana del 77 b) La suficiencia comparada: renta relativa y pobreza de los mayores. La contrapartida de la generosidad es una de las mejores posiciones de Europa en su…</t>
  </si>
  <si>
    <t xml:space="preserve">…calcula a partir de la inversion real del Estado en los Presupuestos, ponderada con indices de poblacion y de renta relativa de las beneficiarias. Sobre esa base, los Presupuestos aplican un porcentaje, con un minimo legal que el docu…</t>
  </si>
  <si>
    <t xml:space="preserve">acelerador</t>
  </si>
  <si>
    <t xml:space="preserve">…s de lo previsto y, dada una ratio c , tendran que incrementar sus inversiones, dando lugar al llamado efecto acelerador de la inversion: lnum El incremento de la inversion incrementa la produccion, por el aumento de la demanda; y…</t>
  </si>
  <si>
    <t xml:space="preserve">…ar y en concreto a los criterios de compensacion, y a la teoria del ciclo economico (utilizando la nocion del acelerador). Modigliani. Escribe en 1944 “Liquidity Preference and The Theory of Interest and Money”. Se trata de una ob…</t>
  </si>
  <si>
    <t xml:space="preserve">…ondujo a una excesiva asuncion de riesgos y a un exceso de apalancamiento. Para mas informacion acerca de los aceleradores de la crisis, vease: Inside job (2010) Algunos modelos Agent-Based han probado que, de haber mantenido los…</t>
  </si>
  <si>
    <t xml:space="preserve">…quilibrio. Frente a esto, los economistas de la NEK-1 introdujeron el concepto de NAIRU, tasa de desempleo no aceleradora de la inflacion. La NAIRU tambien representa un concepto de tasa de paro de equilibrio, que se ve afectada p…</t>
  </si>
  <si>
    <t xml:space="preserve">…EQUILIBRIO INCICIAL EN LA NAIRU Esta interseccion es lo que se conoce como Tasa NAIRU o nivel de desempleo no acelerador de la inflacion. A partir de esta interseccion podemos extraer dos conclusiones principales: (i) el mercado d…</t>
  </si>
  <si>
    <t xml:space="preserve">…n dividir los diferentes esfuerzos teoricos de la escuela keynesiana en dos: la Las teorias del multiplicador-acelerador (SAMUELSON, HICKS, PASINETTI); y, Las teorias de ciclos endogenos (KALECKI, KALDOR, GOODWIN). la Un comun den…</t>
  </si>
  <si>
    <t xml:space="preserve">…el circulo de retroalimentacion se ira amortiguando con el tiempo y no cabe esperar una crisis; Multiplicador acelerador: &gt;1 (Equilibrios multiples). Por el contrario, si el multiplicador es superior a la unidad, el deterioro de l…</t>
  </si>
  <si>
    <t xml:space="preserve">Sistema económico internacional (I)</t>
  </si>
  <si>
    <t xml:space="preserve">…algunos autores han querido enfatizar el papel que jugaria algun objeto economico concreto como catalizador y acelerador la situacion observada. Deflaccion de deuda: el Ciulo vicioso de la deuda . La deuda total como ratio de PIB…</t>
  </si>
  <si>
    <t xml:space="preserve">…. Reconocido por el TJUE en 1979 con la Sentencia de Cassis Dijon Ahora bien, aunque este principio supuso un acelerador en la eliminacion de barreras tecnicas traia consigo algunos riesgos que debian ser tratados, fundamentalment…</t>
  </si>
  <si>
    <t xml:space="preserve">multiplicador-acelerador</t>
  </si>
  <si>
    <t xml:space="preserve">…mico. Se pueden dividir los diferentes esfuerzos teoricos de la escuela keynesiana en dos: la Las teorias del multiplicador-acelerador (SAMUELSON, HICKS, PASINETTI); y, Las teorias de ciclos endogenos (KALECKI, KALDOR, GOODWIN). la Un comun den…</t>
  </si>
  <si>
    <t xml:space="preserve">Multiplicador acelerador</t>
  </si>
  <si>
    <t xml:space="preserve">…Sin embargo, el circulo de retroalimentacion se ira amortiguando con el tiempo y no cabe esperar una crisis; Multiplicador acelerador: &gt;1 (Equilibrios multiples). Por el contrario, si el multiplicador es superior a la unidad, el deterioro de l…</t>
  </si>
  <si>
    <t xml:space="preserve">JORGENSON</t>
  </si>
  <si>
    <t xml:space="preserve">…stitution Between Labor and Capital in U.S. Manufacturing: 1929-1958 , fue dirigida por H. GREGG LEWIS y DALE JORGENSON. Tras doctorarse enseno en la Carnegie Mellon University hasta 1975, cuando regreso a Chicago, donde paso el…</t>
  </si>
  <si>
    <t xml:space="preserve">Jorgenson</t>
  </si>
  <si>
    <t xml:space="preserve">…por utilizar la funcion generalizada de Leontief (Diewert, 1971), o la funcion de coste traslog (Christensen, Jorgenson y Lau, 1973). Obtencion de la curva de demanda agregada Destacar tambien que la demanda agregada no es la sum…</t>
  </si>
  <si>
    <t xml:space="preserve">Retardos e imperfecciones: JORGENSON (1963)</t>
  </si>
  <si>
    <t xml:space="preserve">Jorgenson; JORGENSON</t>
  </si>
  <si>
    <t xml:space="preserve">…on Teoria de la Inversion: Informacion perfecta A partir de la inclusion de costes de ajustes en el modelo de Jorgenson, se observa que q_t es la variable que sintetiza toda la informacion relevante sobre el futuro que la empresa…</t>
  </si>
  <si>
    <t xml:space="preserve">…la renta anual podria reducir la proporcion de hogares en situacion de pobreza en 3 o 4 puntos porcentuales (JORGENSON, 1998). Incidencia sobre la renta actual frente a la renta a lo largo de la vida Una ultima distincion import…</t>
  </si>
  <si>
    <t xml:space="preserve">Teoría impositiva (III): Efecto renta y efecto sustitución de los impuestos</t>
  </si>
  <si>
    <t xml:space="preserve">…avos, pero que la carga excesiva marginal por cada dolar adicional de ingresos tributarios es de 27 centavos (Jorgenson y Yun, 2001, p. 302). El coste social de cada dolar recaudado para un determinado proyecto publico es ese dol…</t>
  </si>
  <si>
    <t xml:space="preserve">Q de Tobin</t>
  </si>
  <si>
    <t xml:space="preserve">…caras, generando incentivos a la inversion. Keynes parece anticiparse a lo que mas tarde se conoceria como la Q de Tobin: si una empresa vale X unidades monetarias en el mercado de valores, nadie compraria en el mercado de bienes…</t>
  </si>
  <si>
    <t xml:space="preserve">…odelo de valoracion de activos financieros (modelo CAPM). Ademas, destacamos la introduccion del concepto de “q de Tobin” y su propuesta de imposicion a la conversion al contado de divisas para desincentivar los flujos de capitale…</t>
  </si>
  <si>
    <t xml:space="preserve">q de Tobin; Q de TOBIN; q de TOBIN</t>
  </si>
  <si>
    <t xml:space="preserve">…nte sobre el futuro que la empresa necesita conocer para adoptar sus decisiones de inversion. La teoria de la q de Tobin estudia la relacion entre el valor de mercado y el coste de reposicion del capital. La construccion del diagr…</t>
  </si>
  <si>
    <t xml:space="preserve">Hayashi; HAYASHI</t>
  </si>
  <si>
    <t xml:space="preserve">…e e igual a 1), aunque es facil reinterpretar el modelo suponiendo costes de naturaleza externa (Abel (1982), Hayashi (1982) y Summers (1981b)); Contexto neoclasico (buen comportamiento) . En segundo lugar, supondremos que la f…</t>
  </si>
  <si>
    <t xml:space="preserve">Opciones reales: McDONALD y SIEGEL (1986)</t>
  </si>
  <si>
    <t xml:space="preserve">Opciones reales; opciones reales</t>
  </si>
  <si>
    <t xml:space="preserve">…tancia a la informacion reciente a la hora de actualizar sus expectativas de crecimiento futuro. specialblock Opciones reales: McDONALD y SIEGEL (1986) Por otro lado, tambien podemos concebir la asimetr  A continuacion, analizaremos el…</t>
  </si>
  <si>
    <t xml:space="preserve">opciones reales; Opciones reales</t>
  </si>
  <si>
    <t xml:space="preserve">…zar explicitamente la secuencia de decisiones y la llegada de informacion, como los arboles de decision o las opciones reales, que capturan el valor de la flexibilidad y la adaptacion. Riesgo: Arboles de deicision El arbol de decision…</t>
  </si>
  <si>
    <t xml:space="preserve">Análisis del crecimiento de la empresa</t>
  </si>
  <si>
    <t xml:space="preserve">Opciones Reales</t>
  </si>
  <si>
    <t xml:space="preserve">opciones reales; Opciones Reales</t>
  </si>
  <si>
    <t xml:space="preserve">…eficio neto. Aplicar estos multiplos a las companias analizadas permite obtener una valoracion indirecta. Las opciones reales complementan los metodos de valoracion al integrar el valor de la flexibilidad en las decisiones empresariale…</t>
  </si>
  <si>
    <t xml:space="preserve">opciones reales</t>
  </si>
  <si>
    <t xml:space="preserve">…sobra y no hay necesidad meterse en terreno pantanoso sin conocerlo. 1cm red OJO! El modelo de valoracion de opciones reales (BLACK-SCHOLES) Juan Luis Cordero esta muy bien explicado. red La pregunta esencial es: ¿Por que un instrumen…</t>
  </si>
  <si>
    <t xml:space="preserve">…por los que la politica monetaria de la Fed puede tener implicaciones a nivel de ciclo financiero global: la Acelerador financiero: Valoracion de activos . Por un lado, los efectos indirectos de variaciones de los tipos de interes en Estado…</t>
  </si>
  <si>
    <t xml:space="preserve">acelerador financiero</t>
  </si>
  <si>
    <t xml:space="preserve">…que el empresario que ha propuesto el proyecto menos rentable dispone de un mayor patrimonio. lnum Teoria del acelerador financiero El hecho de que las imperfecciones de los mercados de capital conviertan la riqueza empresarial en un factor…</t>
  </si>
  <si>
    <t xml:space="preserve">acelerador financiero; Acelerador financiero</t>
  </si>
  <si>
    <t xml:space="preserve">…la inflacion y el output gap (que en este caso no se representa). Canales de transmision: Tipos de interes y acelerador financiero Por tanto, una vez que hemos presentado el modelo y vemos como se trata de un sistema de tres ecuaciones con…</t>
  </si>
  <si>
    <t xml:space="preserve">acelerador financiero; BERNANKE y GERTLER</t>
  </si>
  <si>
    <t xml:space="preserve">…siderado a la luz de las imperfecciones de los mercados de credito, en particular, a partir del mecanismo del acelerador financiero (inverso) (BERNANKE y GERTLER, 1989). La informacion asimetrica en el mercado de credito (especialmente la se…</t>
  </si>
  <si>
    <t xml:space="preserve">Acelerador Financiero: BERNANKE y GETLEY</t>
  </si>
  <si>
    <t xml:space="preserve">Acelerador Financiero; BERNANKE y GETLEY; acelerador financiero; Acelerador financiero</t>
  </si>
  <si>
    <t xml:space="preserve">…de los datos y caracteristicas empiricas del sector financiero asi como las series de variables financieras. Acelerador Financiero: BERNANKE y GETLEY Una de las manera mas celebres de incorporar los mercados financieros a la modelizacion es…</t>
  </si>
  <si>
    <t xml:space="preserve">…l del ingreso. Por ultimo, una tercera aportacion realizada por BERNANKE (1983, en linea con su propuesta del acelerador financiero ) centra la atencion en la intermediacion bancaria. Las garantias y el patrimonio neto son margenes de seguri…</t>
  </si>
  <si>
    <t xml:space="preserve">Modelo de Inventario: Motivo transaccion</t>
  </si>
  <si>
    <t xml:space="preserve">Modelo de Inventario; Modelo de inventario</t>
  </si>
  <si>
    <t xml:space="preserve">…troduciremos esencialmente uno: ¿como veian los neoclasicos la demanda de dinero por motivos transaccionales? Modelo de Inventario: Motivo transaccion Este motivo se trata en el Modelo de Inventario propuesto por BAUMOL (1952) y TOBIN (1956…</t>
  </si>
  <si>
    <t xml:space="preserve">Costes de transaccion: Shopping-Time y CIA</t>
  </si>
  <si>
    <t xml:space="preserve">Shopping-Time</t>
  </si>
  <si>
    <t xml:space="preserve">…modelos: lnum Modelizacion tradicional: neoclasicos, KEYNES y monetaristas; Modelizacion moderna: SIDRAUSKY, Shopping-Time, CIA y MGS - Economia pura de intercambio (Muchisimo OJO con entender la restriccion presupuestaria: te has b…</t>
  </si>
  <si>
    <t xml:space="preserve">shopping-time</t>
  </si>
  <si>
    <t xml:space="preserve">…mento que da utilidad a los agentes, aunque sin entrar a justificarlo; Por otro lado, estarian los modelos de shopping-time, cash-in-advance o costes de transaccion, donde el dinero se demanda porque facilita la compra de bienes de c…</t>
  </si>
  <si>
    <t xml:space="preserve">modelos MIU; Money in Utility</t>
  </si>
  <si>
    <t xml:space="preserve">…ue quieren entonces demandarlo? Esta limitacion propicio el desarrollo de modelizaciones posteriores como los modelos MIU (Money in Utility) o los modelos CIA (cash in advance). 3.5. Modelo de Equilibrio General Computable Hasta la…</t>
  </si>
  <si>
    <t xml:space="preserve">Utilidad Directa: Dinero en la Funcion de Utilidad (SIDRAUTSKY, 1967)</t>
  </si>
  <si>
    <t xml:space="preserve">SIDRAUSKY; Money-In-Utility; SIDRAUTSKY; SIDRAUSKI</t>
  </si>
  <si>
    <t xml:space="preserve">…siguientes modelos: lnum Modelizacion tradicional: neoclasicos, KEYNES y monetaristas; Modelizacion moderna: SIDRAUSKY, Shopping-Time, CIA y MGS - Economia pura de intercambio (Muchisimo OJO con entender la restriccion presupues…</t>
  </si>
  <si>
    <t xml:space="preserve">money-in-the-utility; Sidrauski</t>
  </si>
  <si>
    <t xml:space="preserve">…sta de bienes diferenciados. Ademas, puede incorporarse el dinero en su funcion de utilidad. Introducido como money-in-the-utility function (MIU, a la Sidrauski, 1967), para obtener una demanda del mismo, ya que el papel de la autoridad mon…</t>
  </si>
  <si>
    <t xml:space="preserve">Cash in Advance</t>
  </si>
  <si>
    <t xml:space="preserve">…las versiones que introducen explicitamente consideraciones monetarias, como los modelos con restricciones de Cash in Advance (Requisitos de pago en Efectivo) que generan una demanda de dinero (COOLEY y HANSEN, 1989). Politicas de ancl…</t>
  </si>
  <si>
    <t xml:space="preserve">modelos CIA; cash in advance</t>
  </si>
  <si>
    <t xml:space="preserve">…limitacion propicio el desarrollo de modelizaciones posteriores como los modelos MIU (Money in Utility) o los modelos CIA (cash in advance). 3.5. Modelo de Equilibrio General Computable Hasta la decada de 1970, el analisis de equil…</t>
  </si>
  <si>
    <t xml:space="preserve">modelos CIA; Cash-In-Advance</t>
  </si>
  <si>
    <t xml:space="preserve">…nes), modelos Shopping-Time, el valor se deriva de los recursos que puedan ahorrarse por el uso del dinero En modelos CIA, el valor del dinero es el multiplicador de Lagrange asociado a esa restriccion; y, En modelos de busqueda, e…</t>
  </si>
  <si>
    <t xml:space="preserve">cash-in-advance</t>
  </si>
  <si>
    <t xml:space="preserve">…ilidad a los agentes, aunque sin entrar a justificarlo; Por otro lado, estarian los modelos de shopping-time, cash-in-advance o costes de transaccion, donde el dinero se demanda porque facilita la compra de bienes de consume, que es lo…</t>
  </si>
  <si>
    <t xml:space="preserve">Cagan</t>
  </si>
  <si>
    <t xml:space="preserve">…o fuertemente ligados a la Universidad de Chicago y entre ellos se cuentan Karl Brunner, Alan Meltzer, Philip Cagan, Harry Johnson, Laidler, Frenkel o Anna Schwartz. specialblock Friedman fue tanto un economista academico com…</t>
  </si>
  <si>
    <t xml:space="preserve">Modelo de CAGAN</t>
  </si>
  <si>
    <t xml:space="preserve">CAGAN; Cagan</t>
  </si>
  <si>
    <t xml:space="preserve">…erinflacion Desde una perspectiva diametralmente opuesta tenemos los contextos hiperinflacionarios. Modelo de CAGAN La modelizacion de los contextos de hiperinflacion debe sus origenes a CAGAN (1956), por lo que presentaremos…</t>
  </si>
  <si>
    <t xml:space="preserve">SARGENT y WALLACE</t>
  </si>
  <si>
    <t xml:space="preserve">…abilizacion contraciclica, siempre que sean usadas de forma consistente por los Bancos Centrales. Siguiendo a SARGENT y WALLACE (1975) puede hablarse de superneutralidad del dinero , ya que los cambios en la variable monetaria no tendran…</t>
  </si>
  <si>
    <t xml:space="preserve">aritmetica monetarista; SARGENT y WALLACE</t>
  </si>
  <si>
    <t xml:space="preserve">…alto a la ortodoxia, sino una transicion gradual por instrumentos intermedios. La lectura teorica es la de la aritmetica monetarista desagradable de SARGENT y WALLACE (1981). Si la autoridad fiscal es dominante y fija una senda de deficits qu…</t>
  </si>
  <si>
    <t xml:space="preserve">POOLE; Poole</t>
  </si>
  <si>
    <t xml:space="preserve">…seria mejor articular la Politica Monetaria como objetivo intermedio. lnum specialblock Instrumento deseable: POOLE (1970) Esto ultimo es precisamente el objeto de uno de los trabajos mas celebres en relacion con la Politica…</t>
  </si>
  <si>
    <t xml:space="preserve">Poole</t>
  </si>
  <si>
    <t xml:space="preserve">…operar, en promedio, en un entorno menos arriesgado. Existe toda una literatura teorica, iniciada por William Poole (1970), que ha analizado este problema. Presentamos los principales resultados en el Recuadro 3.2. Unidad mon…</t>
  </si>
  <si>
    <t xml:space="preserve">BARRO (1979)</t>
  </si>
  <si>
    <t xml:space="preserve">…nticipated Money Growth and Unemployment . BARRO (1977) &amp; Money and the Price Level Under the Gold Standard . BARRO (1979) En contraste, los trabajos de BARRO publicados entre 1977 y 1979 representan un giro teorico y empirico impor…</t>
  </si>
  <si>
    <t xml:space="preserve">Suavizacion Impositiva</t>
  </si>
  <si>
    <t xml:space="preserve">…partir de las CPO's, obtenemos: aligned T_t Y_t =E_t ( T_ t+1 Y_ t+1 ) Suavicacion impositiva aligned BARRO: Suavizacion Impositiva. Analisis moderno Como vemos, esta condicion nos indica que lo optimo es buscar la suavizacion de la senda im…</t>
  </si>
  <si>
    <t xml:space="preserve">tax smoothing</t>
  </si>
  <si>
    <t xml:space="preserve">…ser quienes se beneficien manana, y a la inversa. El segundo es la **suavizacion de los tipos impositivos** (*tax smoothing*, Barro, 1979, *Journal of Political Economy*). Las inversiones publicas son irregulares en el tiempo. Financ…</t>
  </si>
  <si>
    <t xml:space="preserve">…en el amortiguador de las perturbaciones presupuestarias. El punto de partida es la nivelacion impositiva de BARRO (1979): si los impuestos generan distorsiones crecientes con el tipo, el Gobierno debe mantener tipos estables en el…</t>
  </si>
  <si>
    <t xml:space="preserve">salarios de eficiencia</t>
  </si>
  <si>
    <t xml:space="preserve">…f the questions being asked (...). K. ATHREYA, Big Ideas in Macroeconomics (2013) . Por ejemplo, el modelo de salarios de eficiencia de SHAPIRO y STIGLITZ (1984) aparece en manuales de macroeconomia ya que supone una microfundamentacion de ri…</t>
  </si>
  <si>
    <t xml:space="preserve">…4, Gordon, 1974 y Azariadis, (1975); (ii) Ajuste de salarios escalonados (FISCHER, 1977, TAYLOR, 1979); (iii) Salarios de eficiencia (SALOP, 1979, SHAPIRO y STIGLITZ, 1984); y (iv) Costes de menu (MANKIW, 1985, AKERLOF y YELLEN, 1985). Sin em…</t>
  </si>
  <si>
    <t xml:space="preserve">salarios de eficiencia; Salarios de eficiencia</t>
  </si>
  <si>
    <t xml:space="preserve">…reales en el mercado de trabajo. Itroducir o priorizar los modelos del mercado de trabajo (como el modelo de salarios de eficiencia). Esta bien dividido en rigideces nominales y rigideces reales, pero al principio de cada apartado es impresc…</t>
  </si>
  <si>
    <t xml:space="preserve">Salarios de eficiencia; salarios de eficiencia; salario de eficiencia</t>
  </si>
  <si>
    <t xml:space="preserve">…empleo involuntario? lnum Estructura de la exposicion Breve referencia a la curva salarial Evidencia empirica Salarios de eficiencia El concepto central de la teoria de salarios de eficiencia se basa en que las empresas no solo obtienen un be…</t>
  </si>
  <si>
    <t xml:space="preserve">SHAPIRO y STIGLITZ</t>
  </si>
  <si>
    <t xml:space="preserve">…d (...). K. ATHREYA, Big Ideas in Macroeconomics (2013) . Por ejemplo, el modelo de salarios de eficiencia de SHAPIRO y STIGLITZ (1984) aparece en manuales de macroeconomia ya que supone una microfundamentacion de rigideces en el mercado…</t>
  </si>
  <si>
    <t xml:space="preserve">…(ii) Ajuste de salarios escalonados (FISCHER, 1977, TAYLOR, 1979); (iii) Salarios de eficiencia (SALOP, 1979, SHAPIRO y STIGLITZ, 1984); y (iv) Costes de menu (MANKIW, 1985, AKERLOF y YELLEN, 1985). Sin embargo, aunque sus aportaciones co…</t>
  </si>
  <si>
    <t xml:space="preserve">…parcialmente de la reduccion de costes que consiga alcanzar; La relacion laboral entre trabajador y empresa (SHAPIRO y STIGLITZ, 1984), en la que la empresa debe asegurarse de que el trabajador se esfuerce, para lo cual puede llevarse a…</t>
  </si>
  <si>
    <t xml:space="preserve">Modelo de referencia: SHAPIRO-STIGLITZ</t>
  </si>
  <si>
    <t xml:space="preserve">SHAPIRO-STIGLITZ</t>
  </si>
  <si>
    <t xml:space="preserve">…eniendo en cuenta la renta salarial que garantiza cierto nivel de esfuerzo del trabajo. Modelo de referencia: SHAPIRO-STIGLITZ Como se ha comentado, en los modelos anteriores se asume que el esfuerzo depende del salario, pero este esfue…</t>
  </si>
  <si>
    <t xml:space="preserve">Extension: Iinsiders-Outsiders</t>
  </si>
  <si>
    <t xml:space="preserve">insiders-Outsiders</t>
  </si>
  <si>
    <t xml:space="preserve">…tes conllevara que todo el riesgo lo asuma la empresa a cambio de pagar menos a sus trabajadores. Extension: Iinsiders-Outsiders Una de las posibles extensiones a estos modelos considera la existencia de trabajadores no homogeneos. Hasta…</t>
  </si>
  <si>
    <t xml:space="preserve">insiders y outsiders; Insiders y Outsiders; INSIDERS-OUTSIDERS</t>
  </si>
  <si>
    <t xml:space="preserve">…ficil que puedan volver a encontrar un empleo, aumentando asi el desempleo de equilibrio. y, La existencia de insiders y outsiders. Vease [ Ver Tema 3.A.27 ] para el modelo de referencia. Los trabajadores empleados, insiders, cuya principal…</t>
  </si>
  <si>
    <t xml:space="preserve">DUNLOP; Dunlop</t>
  </si>
  <si>
    <t xml:space="preserve">…es teoricos que analizan la negociacion colectiva. El primero es el enfoque denominado sindicato monopolista (DUNLOP, 1944), en el que un sindicato unico que actua como "monopolista" tiene el poder para maximizar el salario, a…</t>
  </si>
  <si>
    <t xml:space="preserve">Derecho a gestionar (Nickell-Andrews 1983)</t>
  </si>
  <si>
    <t xml:space="preserve">Derecho a Gestionar</t>
  </si>
  <si>
    <t xml:space="preserve">…abajo presenta agentes con poder de mercado, tal y como analizan los modelos de negociacion como el modelo de Derecho a Gestionar de NICKEL y ANDREWS. Tambien es un mercado que presenta heterogeneidad entre trabajadores e informacion asime…</t>
  </si>
  <si>
    <t xml:space="preserve">Derecho a gestionar: NICKELL y ANDREWS</t>
  </si>
  <si>
    <t xml:space="preserve">Nickelly Andrews; derecho a gestionar; Right-to-Manage; NICKELL y ANDREWS; Derecho a gestionar</t>
  </si>
  <si>
    <t xml:space="preserve">…maximizar el salario, a partir del cual la empresa demanda la cantidad de trabajo necesaria. Los trabajos de Nickelly Andrews avanzan sobre el enfoque de Dunlop a traves de los modelos del derecho a gestionar ( Right-to-Manage ) en los…</t>
  </si>
  <si>
    <t xml:space="preserve">Negociación eficiente (McDonald-Solow 1981)</t>
  </si>
  <si>
    <t xml:space="preserve">Negociacion eficiente</t>
  </si>
  <si>
    <t xml:space="preserve">Negociacion eficiente; McDONALD y SOLOW; negociacion eficiente</t>
  </si>
  <si>
    <t xml:space="preserve">…indiferencia. Eq-DerechoGestionar.png Equilibrio en el modelo NICKELL-ANDREWS Apuntes ICEX-CECO. Tema 3.A.27 Negociacion eficiente Desarrollos posteriores han permitido solventar esta ineficiencia tan importante, como por ejemplo el modelo…</t>
  </si>
  <si>
    <t xml:space="preserve">McDonald y Solow; SOLOW-McDONALD</t>
  </si>
  <si>
    <t xml:space="preserve">…lo. Representando los mercados laborales de dos paises candidatos a una union monetaria, en base al modelo de McDonald y Solow (1981): En el eje vertical se muestra el salario real y en el horizontal el nivel de empleo (N). Las curvas c…</t>
  </si>
  <si>
    <t xml:space="preserve">DIAMOND, MORTENSEN</t>
  </si>
  <si>
    <t xml:space="preserve">…adas en fricciones en la busqueda y emparejamiento en el mercado de trabajo y para ello recurren al modelo de DIAMOND, MORTENSEN y PISSARIDES [ Ver Tema 3.A.26 ]. los bancos centrales si tienen que hacer frente a un trade off entre la inf…</t>
  </si>
  <si>
    <t xml:space="preserve">Modelos de busqueda</t>
  </si>
  <si>
    <t xml:space="preserve">…de los mismos a la hora de analizar el ciclo macroeconomico de un pais y las posibles fuentes de fricciones (Modelos de busqueda en el mercado laboral, teoria de la demanda del dinero). Lo mismo podria decirse de los costes de ajuste (Dem…</t>
  </si>
  <si>
    <t xml:space="preserve">Modelos de busqueda | Modelo baseline -- MORTENSEN, 1970</t>
  </si>
  <si>
    <t xml:space="preserve">Modelo de busqueda; DIAMOND - MORTENSEN; modelos de busqueda; Modelos de busqueda</t>
  </si>
  <si>
    <t xml:space="preserve">…document Apuntes CECO -- 33 pags. La distribucion del tiempo seria adecuada si: lnum Modelo de busqueda de MORTENSEN y sus extensiones. Entre 4 y 6 minutos; Modelo de DIAMOND - MORTENSEN - PISSARIDES. Entre 13 y 1…</t>
  </si>
  <si>
    <t xml:space="preserve">modelo de busqueda; modelos de busqueda; DIAMOND-PISSARIDES; DPM</t>
  </si>
  <si>
    <t xml:space="preserve">…, Segundo, se desarrolla un modelo DSGE de la NEK en el que el mercado de trabajo se incorpora a traves de un modelo de busqueda y emparejamiento. Se ha optado por incluir tambien en el tema una version baseline sin rigideces, pero esta n…</t>
  </si>
  <si>
    <t xml:space="preserve">MCCALL</t>
  </si>
  <si>
    <t xml:space="preserve">…urbuja . En estos modelos existen componentes cuyo valor explota en terminos esperados a lo largo del tiempo. MCCALLUM (2004) enfatiza que una regla de politica economica bien disenada debe conducir a un unico equilibrio carac…</t>
  </si>
  <si>
    <t xml:space="preserve">…que entre Cataluna y Andalucia? Esta pregunta aparentemente inocente (yo pensaria que mas) fue propuesta por MCCALLUM (1995). Concluyo que el comercio entre provincias canadienses es 22 veces mayor al comercio que estas manti…</t>
  </si>
  <si>
    <t xml:space="preserve">Modelo NAIRU; modelo de la NAIRU</t>
  </si>
  <si>
    <t xml:space="preserve">…rios se puede establecer como: aligned W=P^e ;f(u,z) donde, cases W/ u&lt;0 W/ z&gt;0 cases aligned Curva salarial. Modelo NAIRU Es decir, el salario negociado depende negativamente del desempleo, u , y de otros factores institucionales,…</t>
  </si>
  <si>
    <t xml:space="preserve">Modelo NAIRU; Modelo de la NAIRU</t>
  </si>
  <si>
    <t xml:space="preserve">…blecer como: aligned SRN= W_ nominal P^e_c = ;f(u,z) donde, cases W/ u&lt;0 W/ z&gt;0 cases aligned Curva salarial. Modelo NAIRU Es decir, el salario real negociado (SRN) depende negativamente del desempleo, u , y de otros factores instit…</t>
  </si>
  <si>
    <t xml:space="preserve">Blanchard y Summers</t>
  </si>
  <si>
    <t xml:space="preserve">…eresis El modelo tambien permite analizar el fenomeno de la histeresis del desempleo, que fue introducido por Blanchard y Summers (1987), y supone que la tasa de desempleo de equilibrio actual depende de la evolucion pasada del desempleo.…</t>
  </si>
  <si>
    <t xml:space="preserve">modelo de HARROD; modelo de Harrod; modelo que Harrod</t>
  </si>
  <si>
    <t xml:space="preserve">…asa de ahorro: ; s= S Y ;; [0.5em] c Ratio Marginal Capital-Producto: ; c= K F [0.5em] cases Por lo tanto, el modelo de HARROD se plantea como sigue: la Si la tasa efectiva de crecimiento es superior a la tasa garantizada, g , las empre…</t>
  </si>
  <si>
    <t xml:space="preserve">modelo Harrod</t>
  </si>
  <si>
    <t xml:space="preserve">…nomico. Su aportacion mas conocida es un modelo de crecimiento de 1956 considerado como una reformulacion del modelo Harrod-Domar con supuestos neoclasicos. Ademas, destacamos sus estudios sobre las contribuciones al crecimiento de l…</t>
  </si>
  <si>
    <t xml:space="preserve">Harrod Domar</t>
  </si>
  <si>
    <t xml:space="preserve">…a insuficiencia del ahorro interno en dichos paises. Los modelos de crecimiento imperantes en la epoca, el de Harrod Domar en un primer momento, y el de las dos brechas de Chenery y Strout posterionnente, constituian las referencias…</t>
  </si>
  <si>
    <t xml:space="preserve">modelo de HARROD</t>
  </si>
  <si>
    <t xml:space="preserve">…intervencion estabilizadora por la inestabilidad intrinseca de las economias de mercado que se desprendia del modelo de HARROD-DOMAR, o por la necesidad de evitar el estancamiento secular que planteaba HANSEN (1938). A ello se sumo el a…</t>
  </si>
  <si>
    <t xml:space="preserve">Modelo de SOLOW</t>
  </si>
  <si>
    <t xml:space="preserve">Modelo de SOLOW; modelo de Solow; Modelo SOLOW</t>
  </si>
  <si>
    <t xml:space="preserve">…document 1cm arabic page 1 Introduccion Contextualizacion Relevancia Problematica Estructura de la exposicion Modelo de SOLOW Asumiendo que, en el largo plazo, los precios de los factores son flexibles y estos pueden remplazarse sin pr…</t>
  </si>
  <si>
    <t xml:space="preserve">SOLOW-SWAN; modelo de SOLOW; Modelo SOLOW</t>
  </si>
  <si>
    <t xml:space="preserve">…) Tasa S y n constante &amp; (4) Funcion de Acumulacion de K agregado Inversion neta: K_t= I ^ sY - K_t aligned = SOLOW-SWAN [0.5em] (6) Y_t=AK_t _ Lineal en K y_t=Ak_t cases RCE [0.5em] PMg_K No RMgD [0.5em] No INADA: cases _ K 0 PMg…</t>
  </si>
  <si>
    <t xml:space="preserve">Teorías del crecimiento económico (II)</t>
  </si>
  <si>
    <t xml:space="preserve">modelo de SOLOW</t>
  </si>
  <si>
    <t xml:space="preserve">…urge el metodo dual, el cual hace uso de la remuneracion de los factores. MANKIW, ROMER y WEIL desarrollan el modelo de SOLOW ampliado incorporando capital humano al modelo original. Cerca del 80 % de las diferencias en la renta per ca…</t>
  </si>
  <si>
    <t xml:space="preserve">Modelo SOLOW</t>
  </si>
  <si>
    <t xml:space="preserve">…actua como restriccion, y elige el punto que maximiza su utilidad (puntos A y B en la figura). Fig2_3.png El Modelo SOLOW-McDONALD en dos paises Una caracteristica importante del modelo es que la curva de empleo incorpora la reacci…</t>
  </si>
  <si>
    <t xml:space="preserve">MANKIW, ROMER y WEIL; MRW</t>
  </si>
  <si>
    <t xml:space="preserve">…l respecto a su nivel de largo plazo de PIB per capita. Extension: Acumulacion de Capital Humano El modelo de MANKIW, ROMER y WEIL (1992) es uno de los modelos de crecimiento empiricos mas importante para identificar los determinantes de la…</t>
  </si>
  <si>
    <t xml:space="preserve">MANKIW, ROMER y WEIL</t>
  </si>
  <si>
    <t xml:space="preserve">…es y limitaciones a este respecto, surge el metodo dual, el cual hace uso de la remuneracion de los factores. MANKIW, ROMER y WEIL desarrollan el modelo de SOLOW ampliado incorporando capital humano al modelo original. Cerca del 80 % de las…</t>
  </si>
  <si>
    <t xml:space="preserve">Modelo de RAMSEY</t>
  </si>
  <si>
    <t xml:space="preserve">…Ocio-Consumo que, ademas, es persistente; Tomaran un enfoque de Equilibrio General Walrasiano en union con el Modelo de RAMSEY de crecimiento. lnum Considerando un marco temporal de dos periodos y una cantidad total de tiempo normalizad…</t>
  </si>
  <si>
    <t xml:space="preserve">modelo de Ramsey</t>
  </si>
  <si>
    <t xml:space="preserve">…ad global. El capitulo analiza en primer lugar economias dinamicas con consumidor representativo (incluido el modelo de Ramsey-Solow), luego generaliza al caso de un numero finito de consumidores y concluye con una breve presentacion de…</t>
  </si>
  <si>
    <t xml:space="preserve">Ejemplo: Modelo de RAMSEY-CASS-KOOPMANS</t>
  </si>
  <si>
    <t xml:space="preserve">Modelo de RAMSEY; CASS-KOOPMANS</t>
  </si>
  <si>
    <t xml:space="preserve">…al): maximizar el bienestar seria equivalente a maximizar la utilidad del hogar representativo. lnum Ejemplo: Modelo de RAMSEY-CASS-KOOPMANS Podemos ilustrar facilmente un ejemplo practico de un Modelo de Horizonte Infinito con una vers…</t>
  </si>
  <si>
    <t xml:space="preserve">modelo de Ramsey; Cass-Koopmans</t>
  </si>
  <si>
    <t xml:space="preserve">…lema de optimizacion constituye el modelo de Sidrauski (1967): si bien en origen se trato de una extension al modelo de Ramsey-Cass-Koopmans con la que este economista argentino mializo la relacion entre inflacion y crecimiento economic…</t>
  </si>
  <si>
    <t xml:space="preserve">Ramsey-Cass; modelo de RAMSEY</t>
  </si>
  <si>
    <t xml:space="preserve">…odelos de ciclo real, asi como los posteriores neokeynesianos, son modelos de crecimiento microfundamentados (Ramsey-Cass-Koopmans), de tipo walrasiano (sin fallos de mercado ni fricciones) y ampliados con: a) perturbaciones estoca…</t>
  </si>
  <si>
    <t xml:space="preserve">Modelo de RCK</t>
  </si>
  <si>
    <t xml:space="preserve">RCK; modelo de RAMSEY; CASS-KOOPMANS; RAMSEY-CASS</t>
  </si>
  <si>
    <t xml:space="preserve">…uacion: la Funcion de Produccion Neoclasica de buen comportamiento, o bien la competencia perfecta. Modelo de RCK El modelo de RAMSEY-CASS-KOOPMANS supone una sofisticacion del modelo de SOLOW, al introducir microfundamenta…</t>
  </si>
  <si>
    <t xml:space="preserve">modelo de crecimiento de Ramsey; Cass-Koopmans</t>
  </si>
  <si>
    <t xml:space="preserve">…los agentes son identicos o cuando los mercados de capitales son perfectos, como muestra Rebelo (1991). En un modelo de crecimiento de Ramsey-Cass-Koopmans con mercados de capitales perfectos, la tasa de crecimiento del consumo individual viene dada p…</t>
  </si>
  <si>
    <t xml:space="preserve">modelo de crecimiento optimo de RAMSEY; modelo de RAMSEY</t>
  </si>
  <si>
    <t xml:space="preserve">…as actual la version DICE- 2016 R 3 . Esencialmente, aborda la problematica del cambio climatico a partir del modelo de crecimiento optimo de RAMSEY-KOOPMANS-CASS, en el que los agentes economicos sacrifican parte de su consumo presente para invertir en bien…</t>
  </si>
  <si>
    <t xml:space="preserve">generaciones solapadas</t>
  </si>
  <si>
    <t xml:space="preserve">…go generaliza al caso de un numero finito de consumidores y concluye con una breve presentacion del modelo de generaciones solapadas. En el proceso, exploramos una amplia gama de comportamientos dinamicos. El capitulo proporciona un vinculo n…</t>
  </si>
  <si>
    <t xml:space="preserve">Modelo de generaciones solapadas</t>
  </si>
  <si>
    <t xml:space="preserve">MGS; generaciones solapadas; Generaciones Solapadas</t>
  </si>
  <si>
    <t xml:space="preserve">…torio sobre el cual el opositor podria inyectar mas profundidad. lnum 1cm INCLUIR MODELO R-C-K en MHI Cambiar MGS a Victor con los Apuntes que tengo en el IPAD ( e ) es endowmente y hace referencia a las dotaciones iniciale…</t>
  </si>
  <si>
    <t xml:space="preserve">Modelo MGS: Economia pura de intercambio</t>
  </si>
  <si>
    <t xml:space="preserve">MGS; Generaciones Solapadas; generaciones solapadas</t>
  </si>
  <si>
    <t xml:space="preserve">…zacion tradicional: neoclasicos, KEYNES y monetaristas; Modelizacion moderna: SIDRAUSKY, Shopping-Time, CIA y MGS - Economia pura de intercambio (Muchisimo OJO con entender la restriccion presupuestaria: te has bloqueado en…</t>
  </si>
  <si>
    <t xml:space="preserve">Sistemas de Provision Social: Modelo Generaciones Solapadas</t>
  </si>
  <si>
    <t xml:space="preserve">generaciones solapadas; MGS; Generaciones Solapadas</t>
  </si>
  <si>
    <t xml:space="preserve">…eja a juicio del opositor elegir cual desarrolla formalmente y cuales presenta oralmente). Sobre el modelo de generaciones solapadas: seria recomendable centrarse en los sistemas de pensiones, sin explicar la derivacion del modelo sin sistema…</t>
  </si>
  <si>
    <t xml:space="preserve">MGS</t>
  </si>
  <si>
    <t xml:space="preserve">…plimiento de la equivalencia ricardiana serian las siguientes (ver HEIJDRA, 2017, pag 192): la Vidas finitas (MGS). Si los individuos tienen un horizonte finito o solo son parcialmente altruistas anticiparan que parte de la…</t>
  </si>
  <si>
    <t xml:space="preserve">…rt. de Samuelson (1958) que no trataba directamente de pensiones, sino del tipo de interes en una economia de generaciones solapadas. Samuelson imagino una economia en la que cada individuo vive dos periodos, trabaja en el primero y esta jubi…</t>
  </si>
  <si>
    <t xml:space="preserve">Diamond (1965)</t>
  </si>
  <si>
    <t xml:space="preserve">DIAMOND (1965)</t>
  </si>
  <si>
    <t xml:space="preserve">…orica que conviene conocer, porque determina si la comparacion entre r y n + g favorece a uno u otro sistema. DIAMOND (1965) integro el modelo de Samuelson en un modelo de crecimiento con acumulacion de capital y mostro que la economi…</t>
  </si>
  <si>
    <t xml:space="preserve">Juventud perpetua (Blanchard-Yaari 1985)</t>
  </si>
  <si>
    <t xml:space="preserve">Juventud perpetua; juventud perpetua</t>
  </si>
  <si>
    <t xml:space="preserve">…onable aplicado a consumidores. Por tanto, podriamos racionalizar este supuesto mediante dos alternativas: la Juventud perpetua . El del modelo de juventud perpetua o modelo de muerte de POISSON (ACEMOGLU, 2008, apartado 5.3) supone que…</t>
  </si>
  <si>
    <t xml:space="preserve">YAARI; Yaari</t>
  </si>
  <si>
    <t xml:space="preserve">…enes de las aseguradoras. Esta evidencia conecta con uno de los enigmas clasicos de la economia de pensiones. YAARI (1965) demostro que un individuo racional, sin motivo herencia y con acceso a rentas vitalicias actuarialment…</t>
  </si>
  <si>
    <t xml:space="preserve">Modelos de tecnologia AK</t>
  </si>
  <si>
    <t xml:space="preserve">…el modelo concluye que no existe dinamica de transicion. Es decir, obetenemos conclusiones equivalentes a los Modelos de tecnologia AK ([ Ver Tema 3.A.44 ]), con tasas de crecimiento constantes. Para ilustrar el por que, veamos la relacion entr…</t>
  </si>
  <si>
    <t xml:space="preserve">El Modelo AK</t>
  </si>
  <si>
    <t xml:space="preserve">modelo AK; Modelo AK El modelo AK; tecnologia AK; Modelo AK</t>
  </si>
  <si>
    <t xml:space="preserve">…document Como punto de partida se toma el modelo AK, que pennite la presencia de crecimiento endogeno y crecimiento sostenido a largo plazo. Se recomienda dedica…</t>
  </si>
  <si>
    <t xml:space="preserve">funcion de produccion AK</t>
  </si>
  <si>
    <t xml:space="preserve">…cion inicial y es mayor en el estado estacionario asociado a una distribucion mas desigual. Combinado con una funcion de produccion AK, esto conduce a la prediccion de que las economias mas desiguales creceran mas rapidamente. Una segunda razon…</t>
  </si>
  <si>
    <t xml:space="preserve">Externalidades / learning-by-doing (Arrow 1962; Romer 1986)</t>
  </si>
  <si>
    <t xml:space="preserve">learning-by-doing</t>
  </si>
  <si>
    <t xml:space="preserve">…precio. Sin embargo, los costes exhiben efectos cruzados no-nulos. Esta estructura se conoce comunmente como learning-by-doing o economias de alcance. Es decir, la produccion de un bien permite abaratar la produccion del otro. En un ent…</t>
  </si>
  <si>
    <t xml:space="preserve">learning-by-doing; aprendizaje por la practica; ROMER (1986)</t>
  </si>
  <si>
    <t xml:space="preserve">…so tecnologico era una consecuencia involuntaria de producir nuevos bienes de capital, un fenomeno denominado learning-by-doing , que fue asumido como algo externo a las empresas. Es decir, si el progreso tecnologico depende de la produc…</t>
  </si>
  <si>
    <t xml:space="preserve">Sistema económico internacional (II)</t>
  </si>
  <si>
    <t xml:space="preserve">learning by doing</t>
  </si>
  <si>
    <t xml:space="preserve">…resivamente para adecuarse al nuevo no sistema, caracterizado sobre todo por estar fuertemente marcado por el learning by doing . Esto nos permitira analizar esta etapa en los paises desarrollados desde un punto de vista menos ortodoxo p…</t>
  </si>
  <si>
    <t xml:space="preserve">Gasto público productivo (Barro 1990)</t>
  </si>
  <si>
    <t xml:space="preserve">Modelo de BARRO: Gasto Publico Productivo</t>
  </si>
  <si>
    <t xml:space="preserve">Modelo de BARRO; Gasto Publico Productivo; Gasto Publico productivo</t>
  </si>
  <si>
    <t xml:space="preserve">…antes specialblock Ahorro y Gasto Publico Si en el apartado anterior introdujimos la Equivalencia Ricardiana: Modelo de BARRO; con sus principales conclusiones: (i) es indiferente como financie el Gasto Publico el Gobierno pues no tend…</t>
  </si>
  <si>
    <t xml:space="preserve">gasto publico productivo</t>
  </si>
  <si>
    <t xml:space="preserve">…Transferencias Concretamente respecto al multiplicador del gasto publico, su tamano difiere de si se trata de gasto publico productivo o no. Por ejemplo, cuando el gasto publico no es productivo (consumo publico), los efectos de politicas fisca…</t>
  </si>
  <si>
    <t xml:space="preserve">modelo de Barro</t>
  </si>
  <si>
    <t xml:space="preserve">…o, el equilibrio, la dinamica de la transicion y las implicaciones. En cuanto al modelo AK con gasto publico (modelo de Barro) se podrian dedicar unos 3 minutos a la exposicion de la tecnologia y los niveles optimos de imposicion y pro…</t>
  </si>
  <si>
    <t xml:space="preserve">Jones-Manuelli (1990)</t>
  </si>
  <si>
    <t xml:space="preserve">JONES y MANUELLI</t>
  </si>
  <si>
    <t xml:space="preserve">…en la evidencia empirica si que se observa dicha convergencia. Esta limitacion no se observa en el modelo de JONES y MANUELLI, quienes se basan en una funcion de produccion que podria ser catalogada como intermedio entre SOLOW y REBELO…</t>
  </si>
  <si>
    <t xml:space="preserve">Rebelo (1991)</t>
  </si>
  <si>
    <t xml:space="preserve">REBELO (1991); Modelo de REBELO</t>
  </si>
  <si>
    <t xml:space="preserve">…ningun pago adicional por su contribucion al progreso tecnologico. El Modelo AK El modelo AK, introducido por REBELO (1991) se caracteriza por suponer una tecnologia de rendimientos constantes a escala (tecnologia AK) en el stock de…</t>
  </si>
  <si>
    <t xml:space="preserve">…a la economia cuando los agentes son identicos o cuando los mercados de capitales son perfectos, como muestra Rebelo (1991). En un modelo de crecimiento de Ramsey-Cass-Koopmans con mercados de capitales perfectos, la tasa de crecimie…</t>
  </si>
  <si>
    <t xml:space="preserve">UZAWA</t>
  </si>
  <si>
    <t xml:space="preserve">…otro lado, la resolucion del denominado problema de la Integrabilidad de la mano de LEONID HURWICZ y HIROFUMI UZAWA (1971), buscando ciertas propiedades de las funciones de demanda como las referidas a la matriz de Slutsky. S…</t>
  </si>
  <si>
    <t xml:space="preserve">…duccion. SIDRAUSKI El economista sionista argentino MIGUEL SIDRAUSKI, discipulo de MILTON FRIEDMAN y HIROFUMI UZAWA en la Universidad de Chicago, murio a los 28 anos de cancer en 1968, dejando a una hija de dos meses. observa…</t>
  </si>
  <si>
    <t xml:space="preserve">Lucas y Uzawa; LUCAS (1988); LUCAS-UZAWA</t>
  </si>
  <si>
    <t xml:space="preserve">…upondria que el capital humano y el capital fisico son sustitutos perfectos que pueden agregarse alegremente. Lucas y Uzawa se apoyaran en el capital humano tambien pero como veremos con diferencias. lnum Por tanto, necesitamos teori…</t>
  </si>
  <si>
    <t xml:space="preserve">ROMER (1990)</t>
  </si>
  <si>
    <t xml:space="preserve">…o son suficientes para causar efectos reales significativos, sino que se requiere de rigideces reales. BALL y ROMER (1990) demostraron que rigideces nominales sustanciales pueden provenir de una combinacion de rigideces reales y peq…</t>
  </si>
  <si>
    <t xml:space="preserve">Crecimiento por acumulacion de variedades de inputs. ROMER</t>
  </si>
  <si>
    <t xml:space="preserve">Modelo ROMER; variedades de inputs; Modelo de ROMER</t>
  </si>
  <si>
    <t xml:space="preserve">…&amp; cases Si, + &lt;1 Extern., pero pequenas Modelo SOLOW ^ CA decreciente en k [0.5em] Si, + =1 Extern., tecno AK Modelo ROMER Modelo AK [0.5em] Si, + &gt;1 Extern. muy fuertes EE inestable _ CA creciente en k cases Si k&lt;k^*_ ee Senda impl…</t>
  </si>
  <si>
    <t xml:space="preserve">modelo de ROMER</t>
  </si>
  <si>
    <t xml:space="preserve">…miento de las economias de escala, incremento de la competencia, la inversion y el desarrollo tecnologico. El modelo de ROMER pone de manifiesto que la formacion del MC incentiva la I+D gracias a una probable reduccion de costes de inv…</t>
  </si>
  <si>
    <t xml:space="preserve">Aghion</t>
  </si>
  <si>
    <t xml:space="preserve">…ntes del crecimiento economico. Destacamos a los siguientes autores bajo esta escuela de crecimiento: Howitt, Aghion. Acemoglu. Helpman o Grossman. De este planteamiento se pueden obtener dos implicaciones de politica economic…</t>
  </si>
  <si>
    <t xml:space="preserve">…a innovacion no es la creacion de nuevas variedades, sino la creacion de mejores calidades, como el modelo de Aghion y Howit. Esto es importante, pues supone que la creacion de una variedad nueva expulsa del mercado a la vieja…</t>
  </si>
  <si>
    <t xml:space="preserve">ROSENSTEIN</t>
  </si>
  <si>
    <t xml:space="preserve">…ugiriendo que la industrializacion genera externalidades que impulsan el crecimiento subsiguiente (HIRSCHMAN, ROSENSTEIN-RODAN, MATSUYAMA): Sin embargo, al carecer de modelos formales, la teoria economica dominante no ha logrado i…</t>
  </si>
  <si>
    <t xml:space="preserve">gran impulso</t>
  </si>
  <si>
    <t xml:space="preserve">…enas de suministro era comun desde los anos sesenta, por lo que poco cambio para Canada entre 1995 y 2009 (el gran impulso de la deslocalizacion provino del Acuerdo Automotriz Estados Unidos Canada). El cambio radical llego con la d…</t>
  </si>
  <si>
    <t xml:space="preserve">Procesos de integración no comunitarios</t>
  </si>
  <si>
    <t xml:space="preserve">…a estuvo muy condicionada por la crisis de deuda que freno el proceso integrador, de nuevo en los 90 surge un gran impulso integrador gracias a la recuperacion economica y la postura de EE. UU y Canada (firmarian el NAFTA, con Mexic…</t>
  </si>
  <si>
    <t xml:space="preserve">Prebisch</t>
  </si>
  <si>
    <t xml:space="preserve">…aria para competir con exito con los productores extranjeros. Poco despues de la Segunda Guerra Mundial, Raul Prebisch (1950), quien fue Secretario General de la Comision Economica para America Latina de las Naciones Unidas y po…</t>
  </si>
  <si>
    <t xml:space="preserve">centro-periferia; Centro-Periferia</t>
  </si>
  <si>
    <t xml:space="preserve">…: Fabrica America del Norte, Fabrica Europa y Fabrica Asia. Ademas, en cada uno se identifica un claro patron centro-periferia, con un centro bien definido (Estados Unidos, Alemania y China) y una serie de paises mas o menos dependiente…</t>
  </si>
  <si>
    <t xml:space="preserve">centro-periferia</t>
  </si>
  <si>
    <t xml:space="preserve">…ional deberia renombrarse como comercio regional puesto que se identifican tres regiones clave (con un patron centro-periferia mas o menos definido) en las que sucede la mayor parte de los flujos comerciales observados: Fabrica Asia (Ch…</t>
  </si>
  <si>
    <t xml:space="preserve">Centro-Periferia</t>
  </si>
  <si>
    <t xml:space="preserve">…ca regional, que como hemos dicho se configura en estructura fabril que guarda mucha relacion con los modelos Centro-Periferia, son esencialmente los productos destinados al consumo final . Por tanto, si bien es cierto que el intraindus…</t>
  </si>
  <si>
    <t xml:space="preserve">Unión Europea (V): Cohesión Económico y Social en la UE</t>
  </si>
  <si>
    <t xml:space="preserve">…e crecimiento de ingresos en lugar de nivel de ingresos), indicando alta desigualdad economica y una division centro-periferia en la UE (visible en el contraste entre la capital y la periferia, ya que las capitales suelen converger haci…</t>
  </si>
  <si>
    <t xml:space="preserve">CHENERY</t>
  </si>
  <si>
    <t xml:space="preserve">…tribution to the theory of economic growth” (1956) [ver Tema 3.A.43] y posteriormente popularizada por ARROW, CHENERY, MINHAS y SOLOW (1961). aligned q=A ^ -1 aligned Elasticidad de sustitucion: Elasticidad de sustitucion const…</t>
  </si>
  <si>
    <t xml:space="preserve">Chenery; CHENERY</t>
  </si>
  <si>
    <t xml:space="preserve">…as por separado. En el primer caso, se definen como eslabonamientos globales y se presentan las propuestas de Chenery y Watanabe, y Rasmussen; en el segundo caso hablamos de eslabonamientos especificos y se presenta la propuest…</t>
  </si>
  <si>
    <t xml:space="preserve">dos brechas; Chenery</t>
  </si>
  <si>
    <t xml:space="preserve">…ises. Los modelos de crecimiento imperantes en la epoca, el de Harrod Domar en un primer momento, y el de las dos brechas de Chenery y Strout posterionnente, constituian las referencias teoricas y condicionaron los primeros analisi…</t>
  </si>
  <si>
    <t xml:space="preserve">modelo de RICARDO; modelo de Ricardo; ventaja comparativa de RICARDO; modelo ricardiano</t>
  </si>
  <si>
    <t xml:space="preserve">…con la ayuda del cuadro siguiente elaborado con las explicaciones y las cifras de RICARDO: Se supone, en este modelo de RICARDO, que los trabajadores necesitan realmente para su sostenimiento 3Kg de cereales y el equivalente a 12 £ en ot…</t>
  </si>
  <si>
    <t xml:space="preserve">Teoría del Comercio Internacional (I)</t>
  </si>
  <si>
    <t xml:space="preserve">Modelo RICARDIANO: Ventaja Comparativa</t>
  </si>
  <si>
    <t xml:space="preserve">modelo de Ricardo; Modelo RICARDIANO; modelo de RICARDO; modelo ricardiano</t>
  </si>
  <si>
    <t xml:space="preserve">…document En el modelo de Ricardo debe enfatizarse la importancia del concepto de la ventaja comparativa en contraposicion con las teorias de l…</t>
  </si>
  <si>
    <t xml:space="preserve">modelo de Ricardo</t>
  </si>
  <si>
    <t xml:space="preserve">…cias tecnologicas y/o de recursos entre paises para explicar por que se produce el comercio internacional. El modelo de Ricardo muestra que el comercio internacional se rige por el patron de la ventaja comparativa: los paises exportan lo…</t>
  </si>
  <si>
    <t xml:space="preserve">EATON y KORTUM; Eaton y Kortum</t>
  </si>
  <si>
    <t xml:space="preserve">…s de la ventaja absoluta. Al final de la explicacion del modelo, puede hacerse una breve mencion al modelo de EATON y KORTUM , que constituye una contribucion reciente muy importante a la teoria ricardiana del comercio internacional.…</t>
  </si>
  <si>
    <t xml:space="preserve">EATON, KORTUM</t>
  </si>
  <si>
    <t xml:space="preserve">…nde a la denominada nueva nueva teoria del comercio internacional , desarrollada por economistas como MELITZ, EATON, KORTUM, ANTRAS, HELPMAN, etc. a partir de los primeros anos del nuevo siglo. Esta teoria enfatiza que son las empres…</t>
  </si>
  <si>
    <t xml:space="preserve">Eaton and Kortum</t>
  </si>
  <si>
    <t xml:space="preserve">…a es mayor cuanto mas grandes y menos abiertos son los paises. For the trend in the domestic trade share, see Eaton and Kortum (2002, 2011) with aggregate data, and Bernard et al. (2007) and Mayer and Ottaviano (2008) with firm-level da…</t>
  </si>
  <si>
    <t xml:space="preserve">Modelo Factores especificos</t>
  </si>
  <si>
    <t xml:space="preserve">…enso al respecto. red OJO! -- Poner especial enfasis en lo siguiente [...] KRUGMAN et al. (Eco Internacional, Modelo Factores especificos) [¿Por que estudiamos los cambios en bienestar sobre la inflacion? Inflacion = Aumentos del indice de precios…</t>
  </si>
  <si>
    <t xml:space="preserve">modelo de los factores especificos; modelo de factores especificos; Modelo factores especificos</t>
  </si>
  <si>
    <t xml:space="preserve">…duccion de una economia tienen efectos diferentes sobre la demanda de distintos factores de produccion. En el modelo de los factores especificos, los factores especificos de los sectores exportadores en cada pais ganan con el comercio, mientras que los f…</t>
  </si>
  <si>
    <t xml:space="preserve">modelo de factores especificos</t>
  </si>
  <si>
    <t xml:space="preserve">…nalizarse, en buena medida, de la misma forma que la inmigracion, utilizando el modelo de MacDougal-Kemp o un modelo de factores especificos a corto plazo y de Heckscher-Ohlin a largo plazo. Sin embargo, para analizar los movimientos de capital en ge…</t>
  </si>
  <si>
    <t xml:space="preserve">Modelo HECKSHER-OHLIN</t>
  </si>
  <si>
    <t xml:space="preserve">HECKSHER-OHLIN; Heckscher-Ohlin; H-O</t>
  </si>
  <si>
    <t xml:space="preserve">…os y demuestra, por tanto, que es posible asegurar que todos mejoran a consecuencia del comercio. lnum Modelo HECKSHER-OHLIN El modelo de Heckscher-Ohlin-Samuelson se contrapone al modelo de Ricardo en que enfatiza diferencias en la d…</t>
  </si>
  <si>
    <t xml:space="preserve">Hechksher-Ohlin; Hecksher-Ohlin</t>
  </si>
  <si>
    <t xml:space="preserve">…anera mas eficiente, mientras que importan los bienes que producen de una forma menos eficiente. El modelo de Hechksher-Ohlin predice que los paises exportan los bienes cuya produccion requiere intensivamente los factores productivos e…</t>
  </si>
  <si>
    <t xml:space="preserve">…y posteriormente refinado por Haberler) o en funcion de la abundancia factorial (de acuerdo con el modelo de Heckscher-Ohlin-Samuelson). Ademas, se considera el comercio como un juego de no suma cero donde todos los paises pueden sali…</t>
  </si>
  <si>
    <t xml:space="preserve">Heckscher-Ohlin; H-O</t>
  </si>
  <si>
    <t xml:space="preserve">…la inmigracion, utilizando el modelo de MacDougal-Kemp o un modelo de factores especificos a corto plazo y de Heckscher-Ohlin a largo plazo. Sin embargo, para analizar los movimientos de capital en general, es mas apropiado interpretar…</t>
  </si>
  <si>
    <t xml:space="preserve">Heckscher-Ohlin-Samuelson (HOS)</t>
  </si>
  <si>
    <t xml:space="preserve">OHLIN, SAMUELSON</t>
  </si>
  <si>
    <t xml:space="preserve">…ses, el patron de comercio y los costes y beneficios del comercio internacional. Destacan las aportaciones de OHLIN, SAMUELSON, KRUGMAN y MELITZ [ver temas 3.B.5-3.B.9]. Economia financiera. Destaca el analisis seminal de MARKOWITZ (mod…</t>
  </si>
  <si>
    <t xml:space="preserve">Ohlin-Samuelson</t>
  </si>
  <si>
    <t xml:space="preserve">…ble asegurar que todos mejoran a consecuencia del comercio. lnum Modelo HECKSHER-OHLIN El modelo de Heckscher-Ohlin-Samuelson se contrapone al modelo de Ricardo en que enfatiza diferencias en la dotacion de recursos entre paises para e…</t>
  </si>
  <si>
    <t xml:space="preserve">Ohlin-Samuelson; OhlinSamuelson</t>
  </si>
  <si>
    <t xml:space="preserve">…su enorme influencia, la teoria neoclasica del comercio internacional, y especialmente el modelo de Hecksher-Ohlin-Samuelson, tiene problemas para explicar varios hechos estilizados del comercio internacional: lnum En primer lugar, la…</t>
  </si>
  <si>
    <t xml:space="preserve">…ormente refinado por Haberler) o en funcion de la abundancia factorial (de acuerdo con el modelo de Heckscher-Ohlin-Samuelson). Ademas, se considera el comercio como un juego de no suma cero donde todos los paises pueden salir ganando…</t>
  </si>
  <si>
    <t xml:space="preserve">Heckscher-Ohlin-Vanek (HOV)</t>
  </si>
  <si>
    <t xml:space="preserve">Ohlin-Vanek</t>
  </si>
  <si>
    <t xml:space="preserve">…ia empirica sobre las teorias neoclasicas del comercio internacional, puede utilizarse el modelo de Heckscher-Ohlin-Vanek. En la exposicion, debe enfatizarse que ese modelo no es exitoso a la hora de predecir la direccion y cuantia…</t>
  </si>
  <si>
    <t xml:space="preserve">nueva teoria del comercio</t>
  </si>
  <si>
    <t xml:space="preserve">…e los modelos neoclasicos y puede utilizarse su escasa relevancia empirica para motivar el surgimiento de la "nueva teoria del comercio internacional", que a partir de los anos 80 introdujo un nuevo marco teorico para analizar los flujos comerci…</t>
  </si>
  <si>
    <t xml:space="preserve">modelo de Krugman; nueva teoria del comercio; Modelo de KRUGMAN</t>
  </si>
  <si>
    <t xml:space="preserve">…uilibrio del modelo de competencia monopolistica, para asi estructurar la discusion, por ejemplo, en torno al modelo de Krugman, enfatizando los motivos que dan lugar al comercio internacional y las consecuencias que tiene sobre el biene…</t>
  </si>
  <si>
    <t xml:space="preserve">Nueva Teoria del Comercio; nueva teoria del comercio; KRUGMAN (1980)</t>
  </si>
  <si>
    <t xml:space="preserve">…titiva del mercado. Para ello, presentaremos brevemente el Modelo de MELITZ-OTTAVIANO, enmarcado dentro de la Nueva Teoria del Comercio Internacional. Por su extension, nos vemos impedidos de mostrar todo el desarrollo analitico del Modelo, Para…</t>
  </si>
  <si>
    <t xml:space="preserve">Modelo de KRUGMAN</t>
  </si>
  <si>
    <t xml:space="preserve">…vamente afectada por las fuerzas de dispersion o centrifugas que generan spillovers positivos en su economia. Modelo de KRUGMAN (1991): Nueva Economia Geografica ¿Como podemos visualizar el impacto de estos efectos y como estos condicion…</t>
  </si>
  <si>
    <t xml:space="preserve">modelo de Krugman</t>
  </si>
  <si>
    <t xml:space="preserve">…ieran y se desintegraran, la union monetaria se volveria atractiva. Un resultado extrano. De la discusion del modelo de Krugman, concluimos que incluso si la integracion conduce a mas shocks asimetricos, esto todavia puede conducir a gan…</t>
  </si>
  <si>
    <t xml:space="preserve">KRUGMAN (1979)</t>
  </si>
  <si>
    <t xml:space="preserve">…esarrollo. Sus bases tienen su origen en SALANT y HENDERSON (1978), y posteriormente fueron desarrollados por KRUGMAN (1979) y FLOOD y GARBER (1984). La causa de estas crisis de primera generacion radica en un deterioro de los fundame…</t>
  </si>
  <si>
    <t xml:space="preserve">MELITZ</t>
  </si>
  <si>
    <t xml:space="preserve">…los costes y beneficios del comercio internacional. Destacan las aportaciones de OHLIN, SAMUELSON, KRUGMAN y MELITZ [ver temas 3.B.5-3.B.9]. Economia financiera. Destaca el analisis seminal de MARKOWITZ (modelo de media-varia…</t>
  </si>
  <si>
    <t xml:space="preserve">Melitz; MELITZ</t>
  </si>
  <si>
    <t xml:space="preserve">…l. El material presentado esta basado los capitulos 3 a 5 del manual de Paul Krugman, Maurice Obstfeld y Marc Melitz, que contiene muy buenos ejemplos e intuiciones. El manual mas avanzado de Robert Feenstra y el de Markusen,…</t>
  </si>
  <si>
    <t xml:space="preserve">…brevemente que caracteristicas las diferencian de las empresas no exportadoras; y teorico porque el modelo de Melitz, al introducir heterogeneidad a nivel de empresa, enfatiza un nuevo canal a traves del cual el comercio aumen…</t>
  </si>
  <si>
    <t xml:space="preserve">…estar. Productor: Desde el punto de vista del productor, su comportamiento no difiere mucho del planteado por MELITZ (2003). Supondremos que existe un numero infinito de posibles entrantes, que todos ellos enfrentan unos coste…</t>
  </si>
  <si>
    <t xml:space="preserve">…signacion de recursos derivados de estas politicas. red OJO -&gt; A partir de aqui Manual de KRUGMAN, OBSTFELD y MELITZ (Juntas a ser posible) Durante unos 30 anos tras la Segunda Guerra Mundial, en muchos paises en desarrollo in…</t>
  </si>
  <si>
    <t xml:space="preserve">Melitz</t>
  </si>
  <si>
    <t xml:space="preserve">…centra en el papel desempenado por las empresas en las relaciones comerciales. En este sentido, el modelo de Melitz (2003) se ha convertido en el marco analitico de referencia.Los modelos tradicionales de competencia monopoli…</t>
  </si>
  <si>
    <t xml:space="preserve">…es, expresada en terminos de bienes y servicios de los Estados Unidos. Fuente: Krugman, P. R., Obstfeld, M. &amp; Melitz, M. J. (2016). Economia internacional: Teoria y politica (10a edicion). Pearson. (pag. 420) Nota : En este li…</t>
  </si>
  <si>
    <t xml:space="preserve">…a UE que se beneficiarian de la union monetaria; veanse los estudios de Artis y Zhang (1997). Fidrmuc (2004), Melitz (2004) y Boeri y Garibaldi (2006) llegan a conclusiones similares. Otros estudios empiricos han puesto en dud…</t>
  </si>
  <si>
    <t xml:space="preserve">Arkolakis-Costinot-Rodríguez-Clare (2012)</t>
  </si>
  <si>
    <t xml:space="preserve">Arkolakis</t>
  </si>
  <si>
    <t xml:space="preserve">…alcularse mediante unicamente dos estadisticas suficientes en una amplia clase de modelos de comercio (Costas Arkolakis et al., 2012): (i) la respuesta de los flujos comerciales a cambios en los costes comerciales; y, (ii) la cuo…</t>
  </si>
  <si>
    <t xml:space="preserve">Chaney (2008)</t>
  </si>
  <si>
    <t xml:space="preserve">Chaney; CHANEY</t>
  </si>
  <si>
    <t xml:space="preserve">…bucion de PARETO, la elasticidad extensiva es constante y, por tanto, tambien lo es la elasticidad comercial (Chaney, 2008). En estos casos especiales, el tamano de mercado no tiene efecto sobre la elasticidad comercial y los…</t>
  </si>
  <si>
    <t xml:space="preserve">Melitz-Ottaviano (2008)</t>
  </si>
  <si>
    <t xml:space="preserve">MELITZ-OTTAVIANO; MELITZ y OTTAVIANO</t>
  </si>
  <si>
    <t xml:space="preserve">…o en Tema 3.B.7 -&gt; Costes, ingresos, etc; Modificar el Modelo de KRUGMAN de demanda lineal e introducir el de MELITZ-OTTAVIANO que se basan en la misma idea y permite mostrar el comercio intrasectorial; Cambiar la medida de productivida…</t>
  </si>
  <si>
    <t xml:space="preserve">…itica Comercial sobre la estructura competitiva del mercado. Para ello, presentaremos brevemente el Modelo de MELITZ-OTTAVIANO, enmarcado dentro de la Nueva Teoria del Comercio Internacional. Por su extension, nos vemos impedidos de mos…</t>
  </si>
  <si>
    <t xml:space="preserve">MELITZ-OTTAVIANO</t>
  </si>
  <si>
    <t xml:space="preserve">…estructura competitiva de los mercados bajo un marco de Equilibrio Parcial (siguiendo el Modelo propuesto por MELITZ-OTTAVIANO); y, (ii) el Bienestar Agregado y la relacion economica con el exterior que tiene un pais cualquiera (siguien…</t>
  </si>
  <si>
    <t xml:space="preserve">…Los efectos sobre la estructura competitiva del mercado se pueden analizar bajo el modelo marco propuesto por MELITZ-OTTAVIANO (2008). Las ecuaciones fundamentales para evaluar los cambios que experimentaremos son: aligned &amp; Demanda :&amp;&amp;…</t>
  </si>
  <si>
    <t xml:space="preserve">gravitatorias</t>
  </si>
  <si>
    <t xml:space="preserve">…sacar al gobierno de la actividad economica permitiria que las fuerzas del mercado (al igual que las fuerzas gravitatorias) convergieran naturalmente hacia el pleno empleo con tasas de crecimiento cada vez mas elevadas y con una dis…</t>
  </si>
  <si>
    <t xml:space="preserve">Tamano: Modelo de gravedad | Modelo gravitacional: TIBERGEN (1962)</t>
  </si>
  <si>
    <t xml:space="preserve">gravitacional; Modelo de gravedad; modelo de gravedad</t>
  </si>
  <si>
    <t xml:space="preserve">…supuesto de competencia perfecta. El tiempo restante puede utilizarse para hacer una breve mencion al modelo gravitacional del comercio internacional y a las economias de escala externas a la empresa. En este caso, conviene desarrol…</t>
  </si>
  <si>
    <t xml:space="preserve">ecuacion de gravedad</t>
  </si>
  <si>
    <t xml:space="preserve">…rdos comerciales preferenciales. Se puede demostrar como este efecto de tercer pais puede incorporarse en una ecuacion de gravedad. Para verlo con claridad, considerese el caso en el que inicialmente las barreras comerciales son simetricas…</t>
  </si>
  <si>
    <t xml:space="preserve">Modelos gravitatorios: ¿Cuanto ha afectado?</t>
  </si>
  <si>
    <t xml:space="preserve">gravitatorios; modelo de gravedad; gravitatorio; Gravitatorio</t>
  </si>
  <si>
    <t xml:space="preserve">…as metodologias estandar para la construccion de estos escenarios contrafactuales de manera rigurosa. Modelos gravitatorios: ¿Cuanto ha afectado? El primero de ellos consiste en la construccion de un benchmark teorico de comercio pot…</t>
  </si>
  <si>
    <t xml:space="preserve">gravitacional</t>
  </si>
  <si>
    <t xml:space="preserve">…el impacto que tiene que dos paises compartan la misma moneda en el comercio entre ellos. Aplicando un modelo gravitacional [ Ver Tema 3.B.6 ] a los datos de comercio de muchos paises, que incluian uniones monetarias, concluyo que lo…</t>
  </si>
  <si>
    <t xml:space="preserve">modelos de gravedad; modelo de gravedad</t>
  </si>
  <si>
    <t xml:space="preserve">…etaria en la UE sobre el comercio de los Estados miembros habria sido positivo, a partir de la utilizacion de modelos de gravedad de comercio bilateral. El estudio que se puede considerar como seminal (Rose y Engel, 2002), estima que perte…</t>
  </si>
  <si>
    <t xml:space="preserve">Modelo de gravedad; modelo de gravedad</t>
  </si>
  <si>
    <t xml:space="preserve">…analisis de los flujos de inmigracion agregados, partiendo de una seria de hipotesis y un metodo predefinido (Modelo de gravedad); o, (ii) un enfoque cualitativo, mediante la elaboracion de encuestas que permita profundizar en el razonami…</t>
  </si>
  <si>
    <t xml:space="preserve">ANDERSON y VAN WINCOOP</t>
  </si>
  <si>
    <t xml:space="preserve">…os. Esto, fue resuelto mas tarde con la introduccion de la resistencia multilateral (multilateral resistance, ANDERSON y VAN WINCOOP 2003). De acuerdo con ella, los paises no solo comercian bilateralmente entre pares, sino en funcion de como…</t>
  </si>
  <si>
    <t xml:space="preserve">Anderson y Van Wincoop</t>
  </si>
  <si>
    <t xml:space="preserve">…t recordar que los costes de transaccion son uno de los componentes mas importantes de los costesde comercio (Anderson y Van Wincoop, 2004), con lo que una reduccion sustancial de los mismos se espera que se traduzca en una importante mejora…</t>
  </si>
  <si>
    <t xml:space="preserve">brecha tecnologica</t>
  </si>
  <si>
    <t xml:space="preserve">…onal: Imperialismo ¿Y que pasaba en el resto del mundo? Muchas veces se aborda este tema argumentando la gran brecha tecnologica que habia entre las exportaciones de las regiones mas desarrolladas y las menos. Sin embargo, esta aproximaci…</t>
  </si>
  <si>
    <t xml:space="preserve">Brander-Spencer; BRANDER-SPENCER</t>
  </si>
  <si>
    <t xml:space="preserve">…ca, los autores hemos sido bastante exhaustivos, dado que lo habitual era limitarse a los modelos de tanto de Brander-Spencer como de Eaton y Grossrnan. A la voluntad del opositor queda el grado de profundidad con el que se desarrollan…</t>
  </si>
  <si>
    <t xml:space="preserve">KRUGMAN (1991); nueva geografia economica</t>
  </si>
  <si>
    <t xml:space="preserve">…ectada por las fuerzas de dispersion o centrifugas que generan spillovers positivos en su economia. Modelo de KRUGMAN (1991): Nueva Economia Geografica ¿Como podemos visualizar el impacto de estos efectos y como estos condicionan la v…</t>
  </si>
  <si>
    <t xml:space="preserve">KRUGMAN (1991)</t>
  </si>
  <si>
    <t xml:space="preserve">…la importancia del comercio intraindustrial). No obstante, existe otro argumento (contracitica) propuesto por KRUGMAN (1991). Segun este autor, el analisis de MUNDELL no puede descartarse ya que existe una caracteristica implicita en…</t>
  </si>
  <si>
    <t xml:space="preserve">…FELD (1994), CALVO (1995), COLE y KEHOE (1996), DRAZEN (1998) y JEANNE (2000). El modelo de zonas objetivo de KRUGMAN (1991), que plantea una ecuacion de determinacion del tipo de cambio que depende de los fundamentos y de la tasa de…</t>
  </si>
  <si>
    <t xml:space="preserve">VINER, 1950; MEADE, 1955a, 1955b; y OZGA, 1955, sobre uniones aduaneras</t>
  </si>
  <si>
    <t xml:space="preserve">…hasta la decada de 1950, cuando varios autores que trabajaban en distintas ramas de la economia (por ejemplo VINER, 1950; MEADE, 1955a, 1955b; y OZGA, 1955, sobre uniones aduaneras y aranceles; LITTLE, 1951; y CORLETT y HAGUE, 1953, sobre tributacion) se encontraron con el problema del seg…</t>
  </si>
  <si>
    <t xml:space="preserve">creacion de comercio; desviacion de comercio</t>
  </si>
  <si>
    <t xml:space="preserve">…ar la produccion nacional de alto coste por importaciones procedentes de otro pais de la union (el caso de la creacion de comercio) el pais gana. Si, por el contrario, la integracion lleva a sustituir importaciones baratas de fuera del area…</t>
  </si>
  <si>
    <t xml:space="preserve">desviacion de comercio</t>
  </si>
  <si>
    <t xml:space="preserve">…ntra en una union aduanera y fija un gravamen a las importaciones llegadas de otros paises, puede generar tal desviacion de comercio, via una reduccion de la demanda de importaciones de paises terceros, que el precio internacional del bien im…</t>
  </si>
  <si>
    <t xml:space="preserve">…able entre 2008 y 2018, de 15,7 % a 15,8 %. Ello sugiere que la integracion europea no ha generado efectos de desviacion de comercio y no ha reducido la contribucion de terceros paises a las cadenas de valor europeas. Las industrias mas orien…</t>
  </si>
  <si>
    <t xml:space="preserve">desviacion de comercio; creacion de comercio</t>
  </si>
  <si>
    <t xml:space="preserve">…nen que el, para que un AEC sea optimo de PARETO, debe crear comercio dentro de la Union Aduanera y evitar la desviacion de comercio al resto del mundo (no es mas restrictivo frente a paises terceros). y, (ii) de cobertura amplia, que cubra u…</t>
  </si>
  <si>
    <t xml:space="preserve">…inacion de las barreras tanto arancelarias como no arancelarias se esperaban beneficios siempre que el efecto creacion de comercio y creacion de consumo fuese superior al efecto desviacion de comercio; y, (ii) efectos dinamicos, debido a un…</t>
  </si>
  <si>
    <t xml:space="preserve">KEMP y WAN</t>
  </si>
  <si>
    <t xml:space="preserve">…entar restricciones frente a terceros ; La justificacion teorica de esta condicion proviene de las Teorias de KEMP y WAN. Proponen que el, para que un AEC sea optimo de PARETO, debe crear comercio dentro de la Union Aduanera y evi…</t>
  </si>
  <si>
    <t xml:space="preserve">MacDougal</t>
  </si>
  <si>
    <t xml:space="preserve">…enfield si podrian analizarse, en buena medida, de la misma forma que la inmigracion, utilizando el modelo de MacDougal-Kemp o un modelo de factores especificos a corto plazo y de Heckscher-Ohlin a largo plazo. Sin embargo, para…</t>
  </si>
  <si>
    <t xml:space="preserve">MacDougall</t>
  </si>
  <si>
    <t xml:space="preserve">…redistributivos suelen producirse en tres niveles: (i) entre factores productivos , como refleja el modelo de MacDougall; (ii) entre industrias , ganando aquellas que sean mas competitivas; y, (iii) entre paises , pudiendose dar u…</t>
  </si>
  <si>
    <t xml:space="preserve">OLI; paradigma eclectico; DUNNING</t>
  </si>
  <si>
    <t xml:space="preserve">…as sobresalientes de la teoria de los derechos de propiedad es el enfoque ownership-location-internalization (OLI). El paradigma eclectico (DUNNING, 1980) es una teoria economica que tambien se conoce como el modelo OLI, po…</t>
  </si>
  <si>
    <t xml:space="preserve">HUME). AZPILCUETA describio los efectos inflacionistas de la masiva llegada de oro; flujo-especie</t>
  </si>
  <si>
    <t xml:space="preserve">…a Escuela de Salamanca, en concreto por el sacerdote jesuita MARTIN DE AZPILCUETA, en 1525 (225 anos antes de HUME). AZPILCUETA describio los efectos inflacionistas de la masiva llegada de oro y plata producto del saqueo realizado por los conquistadores y navegantes a los confines del mundo desde el s…</t>
  </si>
  <si>
    <t xml:space="preserve">flujo-especie</t>
  </si>
  <si>
    <t xml:space="preserve">…dos los logros alcanzados en la primera mitad del siglo XIX En politica monetaria, MILL extiende el mecanismo flujo-especie de HUME. Aumento del tipo de interes via venta de letras o aumento del tipo de descuento del Banco de Inglate…</t>
  </si>
  <si>
    <t xml:space="preserve">flujo especie</t>
  </si>
  <si>
    <t xml:space="preserve">…ilibrios que se corregiran de forma automatica via variaciones de reservas. Como vemos, difiere del mecanismo flujo especie en la linea de causalidad ya que en el mecanismo flujo especie son los desequilibrios comerciales los que pro…</t>
  </si>
  <si>
    <t xml:space="preserve">Marshall-Lerner</t>
  </si>
  <si>
    <t xml:space="preserve">…desarrollo de la teoria de Mill, Marshall y mas tarde Lerner establecieron la actualmente conocida condicion Marshall-Lerner para la estabilidad del equilibrio del intercambio en el comercio exterior. La condicion Marshall-Lerner dice…</t>
  </si>
  <si>
    <t xml:space="preserve">…sobre la demanda externa. Keynes parece anticiparse a lo que posteriormente seria conocido como condicion de Marshall-Lerner , que establece el requisito que debe cumplirse para que una ganancia de competitividad-precio incremente el…</t>
  </si>
  <si>
    <t xml:space="preserve">Enfoque Elasticidades: Condicion MARSHALL-LERNER</t>
  </si>
  <si>
    <t xml:space="preserve">Enfoque Elasticidades; MARSHALL-LERNER; enfoque de elasticidades; MARSHALL y LERNER</t>
  </si>
  <si>
    <t xml:space="preserve">…ition, 2017). Michael Melvin, Stefan Norrbin. Chapter 13 - Toe IS-LM-BP Approach. Pages 251-275. specialblock Enfoque Elasticidades: Condicion MARSHALL-LERNER El punto de partida del enfoque de elasticidades es la condicion desarrollada por…</t>
  </si>
  <si>
    <t xml:space="preserve">El Fondo Monetario Internacional</t>
  </si>
  <si>
    <t xml:space="preserve">enfoque monetario de la Balanza</t>
  </si>
  <si>
    <t xml:space="preserve">…us origenes en los trabajos de POLAK (1957) y aplica, entre otros, el modelo absorcion (ALEXANDER, 1952) y el enfoque monetario de la Balanza de Pagos. ¿Por donde empezamos? Lo mas sencillo sera imaginar que somos tecnicos del FMI y se nos solicita, p…</t>
  </si>
  <si>
    <t xml:space="preserve">MUNDELL-FLEMING</t>
  </si>
  <si>
    <t xml:space="preserve">…n gran medida la difusion del modelo como herramienta explicativa. Tomemos como ejemplo el conocido modelo de MUNDELL-FLEMING. Con apenas un cambio en los supuestos relativos a la variable que no cambia en una de las tres ecuaciones, e…</t>
  </si>
  <si>
    <t xml:space="preserve">…el nivel de tipo de interes de la economia. Economia abierta El modelo IS-LM-BP, tambien conocido como modelo MUNDELL-FLEMING consiste en el Modelo IS-LM aplicado a una economia abierta. El modelo MUNDELL-FLEMING es un modelo economico…</t>
  </si>
  <si>
    <t xml:space="preserve">MUNDELL-FLEMMING; MUNDELL-FLEMING</t>
  </si>
  <si>
    <t xml:space="preserve">…a caida del consumo y un empeoramiento de la BP). Lo que, de hecho, confirma el conocido resultado del Modelo MUNDELL-FLEMMING: la Politica Fiscal es mas efectiva bajo Tipo de Cambio Fijo que bajo un regimen flexible. Dinamicas de ajust…</t>
  </si>
  <si>
    <t xml:space="preserve">Economia abierta: Modelo MUNDELL-FLEMING</t>
  </si>
  <si>
    <t xml:space="preserve">…inversion en capacidad productiva de la economia a traves del efecto crowding-out . Economia abierta: Modelo MUNDELL-FLEMING Una vez analizados los efectos sobre un economia cerrada desde diferentes perspectivas, podriamos preguntarno…</t>
  </si>
  <si>
    <t xml:space="preserve">Modelo MUNDELL-FLEMING: Equilibrio General</t>
  </si>
  <si>
    <t xml:space="preserve">Mundell-Fleming; MUNDELL-FLEMING; MUNDELL y FLEMING</t>
  </si>
  <si>
    <t xml:space="preserve">…os nacionales (depreciacion/devaluacion) y otra de reduccion del gasto. Al incorporar movimientos de capital (Mundell-Fleming), las politicas monetaria y fiscal tienen efectos diferentes sobre el tipo de interes. Esto hace posible que…</t>
  </si>
  <si>
    <t xml:space="preserve">…a introduccion formal , en los anos 60's, de un importante componente (ya anticipado por KEYNES) en el Modelo MUNDELL-FLEMING: la cuenta financiera. De esta forma, con la interaccion de ambos flujos el tipo de cambio de vaciado siempre…</t>
  </si>
  <si>
    <t xml:space="preserve">MUNDELL y FLEMING; MUNDELL-FLEMING</t>
  </si>
  <si>
    <t xml:space="preserve">…optimas. Lo que debemos tener claro es que no hay un regimen superior a otro , sino que, como ya anticiparian MUNDELL y FLEMING, la importancia radica en lo que necesitemos y en lo que estemos dispuestos a renunciar . Por tanto, en algun…</t>
  </si>
  <si>
    <t xml:space="preserve">MUNDELL y FLEMMING; MUNDELL y FLERNING; MUNDELL-FLEMING; Mundell-Fleming</t>
  </si>
  <si>
    <t xml:space="preserve">…CORSETTI y PESENTI (2005). Este Modelo, como cualquiera de la NOEM, sucede al marco neoclasico formulado por MUNDELL y FLEMMING, que predomino durante los anos 40 y 60. Aunque surgieron criticas a este paradigma, como, por ejemplo, la mo…</t>
  </si>
  <si>
    <t xml:space="preserve">MUNDELL y FLEMING</t>
  </si>
  <si>
    <t xml:space="preserve">…flujos de capital y trabajo cuando se llevan a cabo a nivel local. Y es que, tal y como seiiala el modelo ue MUNDELL y FLEMING desarrollado en los afios 60, una politica fiscal local se filtraria a otras jurisdicciones sin ser efectiva.…</t>
  </si>
  <si>
    <t xml:space="preserve">…curva LM determina el nivel de renta y el nivel de tipo de interes de la economia. Economia abierta El modelo IS-LM-BP, tambien conocido como modelo MUNDELL-FLEMING consiste en el Modelo IS-LM aplicado a una economia abierta. El…</t>
  </si>
  <si>
    <t xml:space="preserve">…co en lntemational Money and Finance (ninth edition, 2017). Michael Melvin, Stefan Norrbin. Chapter 13 - Toe IS-LM-BP Approach. Pages 251-275. specialblock Enfoque Elasticidades: Condicion MARSHALL-LERNER El punto de partida de…</t>
  </si>
  <si>
    <t xml:space="preserve">…da de 1960 a MUNDELL y FLEMING, que amplian el modelo IS-LM de HICKS para economia abierta, creando el modelo IS-LM-BP (posteriormente DORNBUSCH lo llamaria modelo MUNDELL-FLEMING). specialblock Como contrargumento al punto ante…</t>
  </si>
  <si>
    <t xml:space="preserve">Frenkel</t>
  </si>
  <si>
    <t xml:space="preserve">…ersidad de Chicago y entre ellos se cuentan Karl Brunner, Alan Meltzer, Philip Cagan, Harry Johnson, Laidler, Frenkel o Anna Schwartz. specialblock Friedman fue tanto un economista academico como un divulgador al gran publico d…</t>
  </si>
  <si>
    <t xml:space="preserve">MUSSA</t>
  </si>
  <si>
    <t xml:space="preserve">…en Microsoft Office). Calidad diferenciada La discriminacion mediante la eleccion de la calidad del producto (MUSSA y ROSEN, 1978) se pliega a un analisis similar a la de cualquier mecanismo de revelacion por auto-seleccion,…</t>
  </si>
  <si>
    <t xml:space="preserve">Precios flexibles: FRENKEL y MUSSA (1976)</t>
  </si>
  <si>
    <t xml:space="preserve">FRENKEL; MUSSA</t>
  </si>
  <si>
    <t xml:space="preserve">…librio para uno de ellos, en cumplimiento de la Ley de Walras quedara resuelto para todos. Precios flexibles: FRENKEL y MUSSA (1976) Siguiendo el modelo formulado por FRENKEL y MUSSA (1976), consideremos un escenario a largo pl…</t>
  </si>
  <si>
    <t xml:space="preserve">FRENKEL</t>
  </si>
  <si>
    <t xml:space="preserve">…rgo del tiempo, de manera que el regimen cambiario idoneo hoy no tiene por que serlo en el futuro. Tal y como FRENKEL titulo a uno de sus trabajos no hay un regimen cambiario que sea optimo para todos los paises y en cualquier…</t>
  </si>
  <si>
    <t xml:space="preserve">Dornbusch; sobrerreaccion</t>
  </si>
  <si>
    <t xml:space="preserve">…e positiva. La convergencia de la curva de muy corto plazo a la de largo plazo fue estudiada por autores como Dornbusch. Vease por ejemplo el Modelo de sobrerreaccion (1976): Wikipedia.org o Expectations and Exchange Rate Dynamic…</t>
  </si>
  <si>
    <t xml:space="preserve">sobrerreaccion</t>
  </si>
  <si>
    <t xml:space="preserve">…amente, el consumo sera gradual incluso si el gasto pega un salto (e t ). Por eso el gasto en duraderos puede sobrerreaccionar al principio (hipersensibilidad) Ajuste empirico . Y, por ultimo, los shocks de renta o de tipos de interes…</t>
  </si>
  <si>
    <t xml:space="preserve">overshooting</t>
  </si>
  <si>
    <t xml:space="preserve">…r de efectuar un forward guidance conducente a elevar la expectativa de inflacion, senalando que permitira un overshooting de sus objetivos de inflacion y output gap, admitiendo valores positivos de ambos incluso al llegar al contex…</t>
  </si>
  <si>
    <t xml:space="preserve">…un primer momento el instrumento para conseguirla fue el capital, de modo que el shock inicial provoque una “sobrerreaccion” en forma de inversion/acumulacion de capital que perdure multiples periodos a traves de la ecuacion de movim…</t>
  </si>
  <si>
    <t xml:space="preserve">Precios rigidos: DORNBUSCH, 1976. Overshooting | Overshooting del Margen forward: HODRICK (1990)</t>
  </si>
  <si>
    <t xml:space="preserve">DORNBUSCH; Overshooting; sobrerreaccion</t>
  </si>
  <si>
    <t xml:space="preserve">…ses si las empresas oferentes son oligopolisticas ( pricing to market ), tal y como estudian KRUGMAN (1987) y DORNBUSCH (1987); y, Heterogeneidad de los bienes . No todos los bienes son identicos y la existencia de bienes no come…</t>
  </si>
  <si>
    <t xml:space="preserve">DORNBUSCH</t>
  </si>
  <si>
    <t xml:space="preserve">…EMING, que amplian el modelo IS-LM de HICKS para economia abierta, creando el modelo IS-LM-BP (posteriormente DORNBUSCH lo llamaria modelo MUNDELL-FLEMING). specialblock Como contrargumento al punto anterior tendriamos las consec…</t>
  </si>
  <si>
    <t xml:space="preserve">…dios empiricos confirman que estas diferencias en la transmision de los shocks pueden ser sustanciales (vease DORNBUSCH et al., 1998; CECCHETTI, 1999; MACLENNAN et al., 1999; MOJON, 2000; PEERSMAN y SMETS, 2001) ¿Que consecuencia…</t>
  </si>
  <si>
    <t xml:space="preserve">Dornbusch</t>
  </si>
  <si>
    <t xml:space="preserve">…la cual Fleming y Mundell eran vistos como importantes contribuyentes a la tematica general. En 1976. Rudiger Dornbusch publico una serie de articulos sobre la politica cambiaria que codificaba estos aportes a los que el llamo el…</t>
  </si>
  <si>
    <t xml:space="preserve">…ks y su efecto sobre la senda de crecimiento a largo plazo es incierta , aumentando la probabilidad de que se sobrerreaccione o infrarreacione ante este tipo de perturbaciones. Ante un desastre climatico, existen tres hipotesis altern…</t>
  </si>
  <si>
    <t xml:space="preserve">…precios o de la inflacion en horizontes temporales cortos, de unas pocas semanas o de meses, evitando asi la sobrerreaccion ante retardos o tensiones transitorias. Los cambios registrados en la politica monetaria solo repercuten en l…</t>
  </si>
  <si>
    <t xml:space="preserve">…lvo, G. A. y Guidotti, P. E. (1990). Indexation and maturity of government bonds: An exploratory model. En R. Dornbusch y M. Draghi (Eds.), Public debt management: Theory and history (pp. 52--82). Cambridge University Press. http…</t>
  </si>
  <si>
    <t xml:space="preserve">Modelo de Cartera: Sustituibilidad imperfecta | Desarrollo formal: McKINNON y BRANSON</t>
  </si>
  <si>
    <t xml:space="preserve">modelo de cartera; Modelo de Cartera; BRANSON; equilibrio de Cartera</t>
  </si>
  <si>
    <t xml:space="preserve">…a monetaria es totalmente ineficaz. No consigue modificar la oferta monetaria, tan solo su composicion. En el modelo de cartera, la sustituibilidad imperfecta de activos hace posible que la Politica Monetaria pueda ser eficaz a corto pla…</t>
  </si>
  <si>
    <t xml:space="preserve">modelos de cartera</t>
  </si>
  <si>
    <t xml:space="preserve">…odel of the exchange rate with many forecasting rules . GRIMALDI y DE GRAUWE ‒ Idea. o Siguen la linea de los modelos de cartera (comparten el mismo espiritu, entienden el tipo de cambio como el precio de un activo) pero incluyen desviaci…</t>
  </si>
  <si>
    <t xml:space="preserve">Desarrollo formal: McKINNON y BRANSON</t>
  </si>
  <si>
    <t xml:space="preserve">modelo de cartera; BRANSON; equilibrio de cartera</t>
  </si>
  <si>
    <t xml:space="preserve">…gasto publico). specialblock Enfoque de cartera: Stock dinero y activos A diferencia del modelo monetario, el modelo de cartera parte de la idea de que el tipo de cambio no solo fluctua cuando se producen perturbaciones en el mercado mon…</t>
  </si>
  <si>
    <t xml:space="preserve">equilibrio de cartera</t>
  </si>
  <si>
    <t xml:space="preserve">…enfoque, que se ha convertido en referente desde entonces. Incentivos La idea subyacente es la del enfoque de equilibrio de cartera, segun el cual, son los rendimientos esperados, el riesgo y las prefere ncias sobre el riesgo son los que det…</t>
  </si>
  <si>
    <t xml:space="preserve">Análisis de los instrumentos financieros de renta variable</t>
  </si>
  <si>
    <t xml:space="preserve">¿Cual es mi cartera? La importancia de la funcion de utilidad en el modelo de carteras</t>
  </si>
  <si>
    <t xml:space="preserve">modelo de cartera</t>
  </si>
  <si>
    <t xml:space="preserve">…rias puede oscilar entre el 6,0 % y 9,0 % anual. Covarianzas.- La covarianza es la magnitud fundamental en el modelo de carteras. Es. una medida del grado en el que los rendimientos de los dos activos se mueven juntos: si dos activos ofr…</t>
  </si>
  <si>
    <t xml:space="preserve">McKINNON y BRANSON</t>
  </si>
  <si>
    <t xml:space="preserve">…, intentando solventar una de las criticas vertidas frente al enfoque monetarista clasico. Desarrollo formal: McKINNON y BRANSON Presentemos el modelo propuesto por McKINNON y BRANSON. Supongamos que estamos valorando la situacion de una…</t>
  </si>
  <si>
    <t xml:space="preserve">…trata, fundamentalmente, de la incorporacion de la hipotesis de la renta permanente. lnum Desarrollo formal: McKINNON y BRANSON Presentemos una version simple del modelo propuesto por McKINNON y BRANSON. Supongamos que estamos valorando…</t>
  </si>
  <si>
    <t xml:space="preserve">BALASSA-SAMUELSON</t>
  </si>
  <si>
    <t xml:space="preserve">…existencia de bienes no comercializables conlleva al incumplimiento de la teoria de la PPA. lnum Paradoja de BALASSA-SAMUELSON De hecho, muchos coinciden en que la refutacion formal de esta teoria viene dada por el Modelo de BALASSA-SAM…</t>
  </si>
  <si>
    <t xml:space="preserve">Balassa-Samuelson; BALASSA y SAMUELSON; BALASSA-SAMUELSON</t>
  </si>
  <si>
    <t xml:space="preserve">…a la elite politica nacional que la hizo posible. Productividad e inflacion en una union monetaria: el efecto Balassa-Samuelson Hasta ahora hemos supuesto que las tasas nacionales de inflacion se igualan en una union monetaria. Esto no e…</t>
  </si>
  <si>
    <t xml:space="preserve">NOEM</t>
  </si>
  <si>
    <t xml:space="preserve">…Temas 3.A.43-3.A.45 ]; Teoria de ciclos economicos [ Ver Tema 3.A.42 ]. Economia internacional (modelos de la NOEM) [ Ver Temas 3.B.15-3.B.16 ]. lnum Desde este punto de vista, se puede argumentar que, a nivel metodologico,…</t>
  </si>
  <si>
    <t xml:space="preserve">Modelo canonica de la NOEM: Determinacion de la renta y la inflacion en una economia abierta | Analisis grafico: Aspa de la NOEM</t>
  </si>
  <si>
    <t xml:space="preserve">…a extension al caso de una economia abierta. El capitulo termina con unas conclusiones. Modelo canonica de la NOEM: Determinacion de la renta y la inflacion en una economia abierta El modelo neo-keynesiano es el principal ma…</t>
  </si>
  <si>
    <t xml:space="preserve">…lico y las exportaciones netas (las dos primeras son mas habituales, la tercera se encuentra en modelos de la NOEM); y, (ii) implica grandes y rapidas respuestas de la produccion ante shocks (incluso incorporando los otros c…</t>
  </si>
  <si>
    <t xml:space="preserve">OBSTFELD y ROGOFF</t>
  </si>
  <si>
    <t xml:space="preserve">…El efecto frontera constituye una de las paradojas mas evidentes en la literatura del comercio internacional (OBSTFELD y ROGOFF, 2000) pues permite ver de forma inequivoca los limites a de la integracion comercial, como veremos mas adela…</t>
  </si>
  <si>
    <t xml:space="preserve">Balanza de Pagos</t>
  </si>
  <si>
    <t xml:space="preserve">…e la balanza de pagos debia estar en equilibrio en todo momento. Sin embargo, desde los anos 80, autores como OBSTFELD y ROGOFF desarrollan el enfoque intertemporal de la balanza de pagos, segun el cual, la capacidad o necesidad de finan…</t>
  </si>
  <si>
    <t xml:space="preserve">Modelo de OBSTFELD-ROGOFF: Dos periodos</t>
  </si>
  <si>
    <t xml:space="preserve">OBSTFELD-ROGOFF</t>
  </si>
  <si>
    <t xml:space="preserve">…n el futuro para poder sacar conclusiones relevantes y razonadas en terminos de Politica Economica. Modelo de OBSTFELD-ROGOFF: Dos periodos Para introducir este nuevo enfoque, presentaremos el modelo de OBSTFELD-ROGOFF (1985), basado e…</t>
  </si>
  <si>
    <t xml:space="preserve">OBSTFELD y ROGOFF; Obstfeld y Rogoff</t>
  </si>
  <si>
    <t xml:space="preserve">…cos del tipo de cambio. De hecho, este articulo fue una de las manifestaciones mas destacadas de lo que luego OBSTFELD y ROGOFF (2001) han popularizado como la paradoja de la desconexion entre el tipo de cambio y los fundamentos macroeco…</t>
  </si>
  <si>
    <t xml:space="preserve">OBSTFELD y ROGOFF; NOEM; OBSTFELD-ROGOFF</t>
  </si>
  <si>
    <t xml:space="preserve">…cciones enfrentadas: la Quienes observaban una polarizacion de los regimenes cambiarios (EICHENGREEN (1994) y OBSTFELD y ROGOFF (1995)); y, Quienes consideraban lo contrario, es decir, que se extenderian los regimenes con miedo a flotar…</t>
  </si>
  <si>
    <t xml:space="preserve">NOEM; Obstfeld y Rogoff</t>
  </si>
  <si>
    <t xml:space="preserve">…pana) durante la presente crisis. Se analiza a continuacion la interdependencia economica con un modelo de la NOEM formulado por CORSETTI y PESENTI (2005). Este Modelo, como cualquiera de la NOEM, sucede al marco neoclasico…</t>
  </si>
  <si>
    <t xml:space="preserve">…iccion presupuestaria intertemporal. Planteamiento del modelo con horizonte infinito El modelo presentado por OBSTFELD y ROGOFF (1995), para una economia pequena (A) y abierta, que toma el tipo de interes mundial como dado y abierto, que…</t>
  </si>
  <si>
    <t xml:space="preserve">Corsetti-Pesenti (2001)</t>
  </si>
  <si>
    <t xml:space="preserve">Corsetti</t>
  </si>
  <si>
    <t xml:space="preserve">…nza comercial constituye una diferencia clave respecto a muchos modelos de la literatura (vease, por ejemplo, Corsetti y Pesenti, 2001), que tipicamente requieren utilidad logaritmica ( = 1) y elasticidad de sustitucion unitaria…</t>
  </si>
  <si>
    <t xml:space="preserve">CORSETTI</t>
  </si>
  <si>
    <t xml:space="preserve">…l QE tanto en Estados Unidos como en la Eurozona sobre el mercado cambiario. Desde un punto de vista teorico, CORSETTI (2016) sugiere con un modelo que los paises grandes y con moneda fuerte pueden utilizar la expansion cuantita…</t>
  </si>
  <si>
    <t xml:space="preserve">Corsetti; CORSETTI</t>
  </si>
  <si>
    <t xml:space="preserve">…io de este tema, se recomienda, por un lado, profundizar en el analisis completo realizado por los profesores Corsetti y Pesenti, en el que se consideran distintas fonnas de modelizar la economia. Por otro lado, tambien es impor…</t>
  </si>
  <si>
    <t xml:space="preserve">CORSETTI; Corsetti</t>
  </si>
  <si>
    <t xml:space="preserve">…ara acceder a la moneda unica. Los criterios de Maastricht fueron objeto de criticas desde su origen. BUITER, CORSETTI y ROUBINI (1993) cuestionaron tres aspectos. En primer lugar, la arbitrariedad de las cifras de referencia (e…</t>
  </si>
  <si>
    <t xml:space="preserve">Pequeña economía abierta NK (Galí-Monacelli 2005)</t>
  </si>
  <si>
    <t xml:space="preserve">Economia pequena y abierta: GALI y MONACELLI (2005)</t>
  </si>
  <si>
    <t xml:space="preserve">GALI y MONACELLI</t>
  </si>
  <si>
    <t xml:space="preserve">…NOEM: un modelo dinamica, estocastico de equilibrio general para una economia pequena y abierta propuesto por GALI y MONACELLI. Este modelo parte de una estructura micro-fundamentada con agentes que optimizan sus decisiones dada la info…</t>
  </si>
  <si>
    <t xml:space="preserve">…r^n_t ) [2em] &amp; Curva de PHILLIPS :&amp;&amp; _ t = E_t[ _ t+1 ] + x_t aligned Modelo canonico de la NEK-2. En base a GALI y MONACELLI (2005) Veamos cada componentes separadamente. Curva IS: Hogares La curva IS dinamica es una version linealiza…</t>
  </si>
  <si>
    <t xml:space="preserve">zonas objetivo</t>
  </si>
  <si>
    <t xml:space="preserve">…undamentos (SME, 1992), justifica la aparicion de los modelos de segunda generacion. El SME era un sistema de zonas objetivo en el que se establecian unas bandas de fluctuacion de las divisas de los Estados miembros en torno a la pari…</t>
  </si>
  <si>
    <t xml:space="preserve">Areas Monetarias Optimas; areas monetarias optimas</t>
  </si>
  <si>
    <t xml:space="preserve">…a cada economia. Tal fue la importancia que este debate tuvo en la literatura que, de hecho, la teoria de las Areas Monetarias Optimas no es sino un efecto colateral de tales discusiones entre economistas, por lo que muchos de los argumentos en…</t>
  </si>
  <si>
    <t xml:space="preserve">Shocks asimetricos: MUNDELL (1961)</t>
  </si>
  <si>
    <t xml:space="preserve">Areas Monetarias Optimas; Mundell (1961); areas monetarias optimas; MUNDELL (1961)</t>
  </si>
  <si>
    <t xml:space="preserve">…uier proceso de integracion monetaria. El analisis que sigue en este capitulo se conoce como la Teoria de las Areas Monetarias Optimas. Esta teoria, iniciada por Mundell (1961), McKinnon (1963) y Kenen (1969), se ha centrado en el lado de los c…</t>
  </si>
  <si>
    <t xml:space="preserve">areas monetarias optimas</t>
  </si>
  <si>
    <t xml:space="preserve">…blema considerable para compartir politica monetaria (vease tema 16 parte B del tercer ejercicio acerca de lasareas monetarias optimas) Son muchos los procesos de integracion de MERCOSUR con otros paises que han sido abiertos con el aumento del…</t>
  </si>
  <si>
    <t xml:space="preserve">area monetaria optima; areas monetarias optimas</t>
  </si>
  <si>
    <t xml:space="preserve">…la crisis del Covid, la mayor integracion fiscal, son hitos muy relevantes en el camino de construccion de un area monetaria optima en el sentido de MUNDELL. Una moneda continental con una base doble, metalica y fiduciaria, basada en Europa…</t>
  </si>
  <si>
    <t xml:space="preserve">La gobernanza económica de la Unión Europea y de la zona euro</t>
  </si>
  <si>
    <t xml:space="preserve">AMO</t>
  </si>
  <si>
    <t xml:space="preserve">…de su propia deuda soberana en su propia moneda. Este argumento es uno de los ejes centrales de la literatura AMO aplicada al diseno institucional del euro, y explica por que la creacion de un mecanismo de este tipo se cons…</t>
  </si>
  <si>
    <t xml:space="preserve">Area Monetaria Optima</t>
  </si>
  <si>
    <t xml:space="preserve">…cciones sin ser efectiva. Por tanto. se cumplen los requisitos ser'ialados por MUNDELL en 1961 para formar un Area Monetaria Optima, de manera que los gobiernos locales no tendran autonomia sobre la politica monetaria, pues; esta debe estar…</t>
  </si>
  <si>
    <t xml:space="preserve">Endogeneidad de criterios (Frankel-Rose 1998)</t>
  </si>
  <si>
    <t xml:space="preserve">Frankel y Rose; FRANKEL y ROSE</t>
  </si>
  <si>
    <t xml:space="preserve">…iendo desfavorable. La naturaleza endogena de los criterios de un area monetaria optima ha sido analizada por Frankel y Rose (1998). ¿Existe alguna evidencia de que la dinamica endogena haya estado funcionando dentro de la Eurozona? D…</t>
  </si>
  <si>
    <t xml:space="preserve">Kenen (1969, diversificación)</t>
  </si>
  <si>
    <t xml:space="preserve">Kenen; KENEN</t>
  </si>
  <si>
    <t xml:space="preserve">…e como la Teoria de las Areas Monetarias Optimas. Esta teoria, iniciada por Mundell (1961), McKinnon (1963) y Kenen (1969), se ha centrado en el lado de los costes dentro del analisis coste-beneficio de una union monetaria. r…</t>
  </si>
  <si>
    <t xml:space="preserve">McKinnon (1963, apertura)</t>
  </si>
  <si>
    <t xml:space="preserve">McKinnon (1963)</t>
  </si>
  <si>
    <t xml:space="preserve">…capitulo se conoce como la Teoria de las Areas Monetarias Optimas. Esta teoria, iniciada por Mundell (1961), McKinnon (1963) y Kenen (1969), se ha centrado en el lado de los costes dentro del analisis coste-beneficio de una union mone…</t>
  </si>
  <si>
    <t xml:space="preserve">HAMADA</t>
  </si>
  <si>
    <t xml:space="preserve">…estrategica es comun emplear Teoria de Juegos: Este analisis fue inicialmente introducido por COOPER (1969) y HAMADA (1976), aunque en nuestra modelizacion seguiremos las aportaciones realizadas por FRANKEL (2015), quien anali…</t>
  </si>
  <si>
    <t xml:space="preserve">ataque especulativo</t>
  </si>
  <si>
    <t xml:space="preserve">…icipar cuando el gobierno se va a quedar sin reservas y precipitar una crisis de balanza de pagos mediante un ataque especulativo a la moneda local [ver tema 3.B.17]. Huidas de capital muy intensas provocan profundas recesiones con un alto…</t>
  </si>
  <si>
    <t xml:space="preserve">Estabilidad del mercado cambiario descentralizado: Ataques especulativos</t>
  </si>
  <si>
    <t xml:space="preserve">ataques especulativos; crisis cambiaria de primera generacion</t>
  </si>
  <si>
    <t xml:space="preserve">…era generacion en los paises asiaticos mostraron las debilidades de estos regimenes intermedios ante posibles ataques especulativos. Los tipos de cambio intermedios se comenzaron a concebir como inestables y se comenzo a defender la receta b…</t>
  </si>
  <si>
    <t xml:space="preserve">ataques especulativos; ataque especulativo</t>
  </si>
  <si>
    <t xml:space="preserve">…ros de una union monetaria no controlan el dinero en el que han emitido su deuda. Esto los hace vulnerables a ataques especulativos autocumplidos que pueden conducir a una crisis de liquidez, la cual a su vez puede degenerar en una crisis de…</t>
  </si>
  <si>
    <t xml:space="preserve">Marco analitico: FLOOD y GARBER (1984) | Crisis cambiaria: Ataque especulativo</t>
  </si>
  <si>
    <t xml:space="preserve">modelos de primera generacion; FLOOD y GARBER; crisis de primera generacion; ataque especulativo</t>
  </si>
  <si>
    <t xml:space="preserve">…ion Relevancia Problematica Estructura de la exposicion Primera Generacion: Inconsistencia del policy-mix Los modelos de primera generacion tratan de explicar el colapso de los sistemas de tipo de cambio fijo que tuvo lugar en los anos 70 y 80 del s…</t>
  </si>
  <si>
    <t xml:space="preserve">ataques especulativos</t>
  </si>
  <si>
    <t xml:space="preserve">…idad fija respecto al oro, surge un factor de inestabilidad. Los gobiernos son ahora una presa facil para los ataques especulativos. Con la mas minima sospecha de que las cosas van a salir mal, los inversores venden la divisa nacional, compr…</t>
  </si>
  <si>
    <t xml:space="preserve">Crisis cambiaria de primera generacion; ataques especulativos; Modelos de Crisis Cambiarias de Primera Generacion</t>
  </si>
  <si>
    <t xml:space="preserve">…as de oro de Estados Unidos: el pais no podia cumplir su obligacion de vender oro al precio oficial. Fig6.png Crisis cambiaria de primera generacion: Situacion de la economia de Estados Unidos a mediados de la decada de 1960 U.S Interventions under Bretton-W…</t>
  </si>
  <si>
    <t xml:space="preserve">…liquidos. Como resultado, su estrategia optima es retirar sus propios activos liquidos de inmediato. Sigue un ataque especulativo y los bancos se quedan sin fondos liquidos. Un equilibrio alternativo es aquel en el que nadie cree que se pr…</t>
  </si>
  <si>
    <t xml:space="preserve">crisis cambiaria de segunda generacion</t>
  </si>
  <si>
    <t xml:space="preserve">…a un tipo de cambio fijo con bandas en el contexto del Sistema Monetario Europeo (SME). Sin embargo, tanto la crisis cambiaria de segunda generacion del SME, como la crisis cambiaria de tercera generacion en los paises asiaticos mostraron las debilidades de…</t>
  </si>
  <si>
    <t xml:space="preserve">modelos de segunda generacion; OBSTFELD (1994)</t>
  </si>
  <si>
    <t xml:space="preserve">…es sin que se observasen deterioros progresivos de los fundamentos (SME, 1992), justifica la aparicion de los modelos de segunda generacion. El SME era un sistema de zonas objetivo en el que se establecian unas bandas de fluctuacion de las divisas d…</t>
  </si>
  <si>
    <t xml:space="preserve">modelos de segunda generacion</t>
  </si>
  <si>
    <t xml:space="preserve">…o en libras). Este episodio de crisis cambiaria es un claro ejemplo de lo que se conoce en la literatura como modelos de segunda generacion o de expectativas autocumplidas. Al dia siguiente, el 17 de septiembre, la lira italiana salio del MCI. Final…</t>
  </si>
  <si>
    <t xml:space="preserve">crisis cambiaria de tercera generacion; modelos de crisis cambiarias de tercera generacion</t>
  </si>
  <si>
    <t xml:space="preserve">…istema Monetario Europeo (SME). Sin embargo, tanto la crisis cambiaria de segunda generacion del SME, como la crisis cambiaria de tercera generacion en los paises asiaticos mostraron las debilidades de estos regimenes intermedios ante posibles ataques especu…</t>
  </si>
  <si>
    <t xml:space="preserve">Modelo de Balance: KRUGMAN (1999)</t>
  </si>
  <si>
    <t xml:space="preserve">KRUGMAN (1999); modelos de tercera generacion; CHANG y VELASCO</t>
  </si>
  <si>
    <t xml:space="preserve">…indible mantener una autoridad monetaria independiente y con dominancia sobre la Politica Fiscal. Como senala KRUGMAN (1999): el punto es que no se puede tener todo, un pais debe elegir dos de cada tres : (i) puede fijar su tipo de ca…</t>
  </si>
  <si>
    <t xml:space="preserve">MARKOWITZ; media-varianza</t>
  </si>
  <si>
    <t xml:space="preserve">…no excluiria a personas que han utilizado la teoria economica en el campo de las finanzas, como por ejemplo, MARKOWITZ, MILLER o SHARPE todos ellos Premio Nobel de Economia en 1990. Por su parte, TIROLE (galardonado con el Premi…</t>
  </si>
  <si>
    <t xml:space="preserve">media-varianza; MARKOWITZ</t>
  </si>
  <si>
    <t xml:space="preserve">…dinal.] Es posiblemente por esta razon que se acuda a modelos de decision simplificados basados en el binomio media-varianza como version reducida . 31 del modelo de utilidad esperada von Neumann-Morgenstern, representando la media un…</t>
  </si>
  <si>
    <t xml:space="preserve">MARKOWITZ</t>
  </si>
  <si>
    <t xml:space="preserve">…Empleando el segundo, que pretende explicar la relacion entre riesgo y rentabilidad existente en el mercado (MARKOWITZ), obtenemos la siguiente ecuacion: aligned &amp; aligned &amp;(1) , E_t[r_ WACC ] [0.5em] &amp;(2) , i: _ t=1 ^T 1 (1+r_…</t>
  </si>
  <si>
    <t xml:space="preserve">Entorno media-varianza: Pares dominantes | Modelo de MARKOWITZ (1952): Teoria de la eleccion de carteras | Valoracion critica Modelo de MARKOWITZ (1952)</t>
  </si>
  <si>
    <t xml:space="preserve">…roblematica Estructura de la exposicion Aproximacion empirica: Tecnicas de valoracion de activos El modelo de MARKOWITZ (1952), o modelo de media-varianza, es un marco matematico para determinar la cartera optima de activos finan…</t>
  </si>
  <si>
    <t xml:space="preserve">…e Tobin tambien fue muy influyente para el desarrollo del modelo de valoracion de activos financieros (modelo CAPM). Ademas, destacamos la introduccion del concepto de “q de Tobin” y su propuesta de imposicion a la conversio…</t>
  </si>
  <si>
    <t xml:space="preserve">CAPM; Capital Asset Pricing</t>
  </si>
  <si>
    <t xml:space="preserve">…te del capital mediante modelos de valoracion de activos como el APT ( Arbitrage Pricing Theory ) o el modelo CAPM ( Capital Asset Pricing Model ). Empleando el segundo, que pretende explicar la relacion entre riesgo y renta…</t>
  </si>
  <si>
    <t xml:space="preserve">…ACC ]= + _A( E_t[r_M]- _ = _M ) _ = [1em] &amp; aligned Sinergias: Diversificacion del riesgo y coste de capital (CAPM). A pesar de esto, algunos autores consideran que la diversificacion puede ser efectivamente una fuente de si…</t>
  </si>
  <si>
    <t xml:space="preserve">…que se cumplan 2 condiciones: i. Que exista un modelo de valoracion de activos por arbitraje (por ejemplo, el CAPM o el APT). i) Que los activos reflejen toda la informacion disponible. ▪ Por lo tanto, testar la hipotesis de…</t>
  </si>
  <si>
    <t xml:space="preserve">…se cumplan dos condiciones: lnum Que exista un modelo de valoracion de activos por arbitraje (por ejemplo, el CAPM o el APT); Que los activos reflejen toda la informacion disponible. lnum Testar la validez de dicha hipotesis…</t>
  </si>
  <si>
    <t xml:space="preserve">Modelo CAPM: Teoria del mercado de capitales (I) | Pilares del CAPM | Derivacion del CAPM</t>
  </si>
  <si>
    <t xml:space="preserve">…de SHARPE fue introducida por el economista americano SHARPE en el marco del modelo de valoracion de activos CAPM. Por dar unos valores de referencia para el ratio de Sharpe, este puede cifrarse entre un 0.45 y un 0.65 para…</t>
  </si>
  <si>
    <t xml:space="preserve">APT; Arbitrage Pricing</t>
  </si>
  <si>
    <t xml:space="preserve">…El metodo directo consiste en estimar el coste del capital mediante modelos de valoracion de activos como el APT ( Arbitrage Pricing Theory ) o el modelo CAPM ( Capital Asset Pricing Model ). Empleando el segundo, que pret…</t>
  </si>
  <si>
    <t xml:space="preserve">APT</t>
  </si>
  <si>
    <t xml:space="preserve">…plan 2 condiciones: i. Que exista un modelo de valoracion de activos por arbitraje (por ejemplo, el CAPM o el APT). i) Que los activos reflejen toda la informacion disponible. ▪ Por lo tanto, testar la hipotesis de los merc…</t>
  </si>
  <si>
    <t xml:space="preserve">…dos condiciones: lnum Que exista un modelo de valoracion de activos por arbitraje (por ejemplo, el CAPM o el APT); Que los activos reflejen toda la informacion disponible. lnum Testar la validez de dicha hipotesis es, evid…</t>
  </si>
  <si>
    <t xml:space="preserve">Modelo APT: Teoria del Mercado de Capitales (II) | Ejemplo - APT</t>
  </si>
  <si>
    <t xml:space="preserve">…APM ha tenido una importancia crucial en el desarrollo de otros modelos posteriores de valoracion de activos. APT.- Modelos de valoracion de activos por arbitraje El modelo de valoracion de activos bajo ausencia de arbitraj…</t>
  </si>
  <si>
    <t xml:space="preserve">Fama y French</t>
  </si>
  <si>
    <t xml:space="preserve">…to, que no estan recogidas por el CAPM. Esto ha dado lugar al desarrollo de los modelos multifactoriales como Fama y French ( 1992). que captan las complejidades que el modelo unifactorial no es capaz de recoger. Me gustaria finaliza…</t>
  </si>
  <si>
    <t xml:space="preserve">BLACK-SCHOLES</t>
  </si>
  <si>
    <t xml:space="preserve">…s orientativos que podemos utilizar para establecer el valor de una opcion, uno de los cuales es el modelo de BLACK-SCHOLES. aligned &amp;[ Opcion de posponer ,| , Opcion de crecer ,| , Opcion de renunciar ] [1em] &amp; . aligned &amp;(1)&amp;&amp;S^*=S…</t>
  </si>
  <si>
    <t xml:space="preserve">Black-Scholes</t>
  </si>
  <si>
    <t xml:space="preserve">…de caja a los que se renuncia mientras no se ejerza la opcion Como se observa en la propia formula, el modelo Black-Scholes asume normalidad de las distribuciones de flujos de caja, un supuesto que no se cumple en la practica. Ademas…</t>
  </si>
  <si>
    <t xml:space="preserve">…ecesidad meterse en terreno pantanoso sin conocerlo. 1cm red OJO! El modelo de valoracion de opciones reales (BLACK-SCHOLES) Juan Luis Cordero esta muy bien explicado. red La pregunta esencial es: ¿Por que un instrumento pensado para…</t>
  </si>
  <si>
    <t xml:space="preserve">BLACK-SCHOLES; BSM</t>
  </si>
  <si>
    <t xml:space="preserve">…uir, esta formulacion sobre el del riesgo y rendimiento de los prestamos consiste en la traslacion del Modelo BLACK-SCHOLES de valoracion de opciones: un prestamo seria el equivalente al pago de una opcion de compra (call option) sob…</t>
  </si>
  <si>
    <t xml:space="preserve">binomial</t>
  </si>
  <si>
    <t xml:space="preserve">…o de la opcion. Asi, dadas las caracteristicas de estas opciones reales en el contexto corporativo, el metodo binomial es en la practica el mas utilizado.A pesar de las analogias entre la valoracion de opciones financieras y la…</t>
  </si>
  <si>
    <t xml:space="preserve">MERTON (1974)</t>
  </si>
  <si>
    <t xml:space="preserve">…tamente diversificable; y, (iii) que en caso de impago, el valor residual de la empresa es cero. Extensiones: MERTON (1974) Para salvar estos problemas, MERTON (1974) desarrolla una extension mas completa de la valoracion del riesgo…</t>
  </si>
  <si>
    <t xml:space="preserve">GORDON-SHAPIRO</t>
  </si>
  <si>
    <t xml:space="preserve">…aloracion de acciones. Como el primero lo hemos visto en el apartado anterior, veamos brevemente el modelo de GORDON-SHAPIRO. Este establece que el valor teorico de una accion esta determinado por los flujos de caja que generara la ac…</t>
  </si>
  <si>
    <t xml:space="preserve">Gordon-Shapiro</t>
  </si>
  <si>
    <t xml:space="preserve">…valor terminal: (i) utilizar la formula de una perpetuidad con crecimiento constante; Es analogo al modelo de Gordon-Shapiro: un modelo de dividendos crecientes a tasas constantes. Donde g es la tasa de crecimiento de equilibrio a lar…</t>
  </si>
  <si>
    <t xml:space="preserve">descuento de dividendos</t>
  </si>
  <si>
    <t xml:space="preserve">…nalistas fundamentales utilizan dos tecnicas para la valoracion de acciones: el flujo de caja descontado y el descuento de dividendos. El flujo de caja descontado (discounted cash flow, o DCF), calcula el valor actual de los flujos de caja fut…</t>
  </si>
  <si>
    <t xml:space="preserve">MODIGLIANI-MILLER</t>
  </si>
  <si>
    <t xml:space="preserve">…resente dando lugar a el Teorema de la Separacion El teorema de la separacion de FISHER precede al teorema de MODIGLIANI-MILLER. . Este muestra que si los mercados de capitales son perfectos, las decisiones de inversion y financiacion de…</t>
  </si>
  <si>
    <t xml:space="preserve">Modigliani y Miller</t>
  </si>
  <si>
    <t xml:space="preserve">…ebemos mencionar sus contribuciones a la teoria del valor de la empresa mediante el desarrollo del teorema de Modigliani y Miller. Finalmente, citamos la hipotesis del ciclo vital del consumo. • Tobin. Escribe en 1958 “Liquidity Preference…</t>
  </si>
  <si>
    <t xml:space="preserve">Modigliani-Miller</t>
  </si>
  <si>
    <t xml:space="preserve">…other does not change real allocations and prices in the economy. Therefore, this concept is also called the Modigliani-Miller theorem of public finance. Para RICARDO, la Impuestos . Los impuestos constituyen un mal en cualquiera de sus…</t>
  </si>
  <si>
    <t xml:space="preserve">MODIGLIANI y MILLER</t>
  </si>
  <si>
    <t xml:space="preserve">…consigo un mayor WACC, reflejando una mayor prima de riesgo. Por el contrario, en linea con la literatura de MODIGLIANI y MILLER (1958), el coste de capital vendra determinado exclusivamente por la capacidad de generar valor del proyecto…</t>
  </si>
  <si>
    <t xml:space="preserve">Hipotesis de la irrelevancia: MODIGLIANI-MILLER</t>
  </si>
  <si>
    <t xml:space="preserve">Modigliani-Miller; MODIGLIANI-MILLER</t>
  </si>
  <si>
    <t xml:space="preserve">…Los dos principales bloques de este tema (el segundo y el tercero) tienen estructuras similares: se parte de Modigliani-Miller para introducir sucesivamente diferentes desviaciones respecto al modelo basico. El buen opositor comprobara…</t>
  </si>
  <si>
    <t xml:space="preserve">…la prima fuese actuarialmente justa, este segundo termino seria nulo y se obtendria el resultado estandar de MODIGLIANI-MILLER: la estructura financiera no alteraria el valor de la entidad. Sin embargo, en la practica las primas suelen…</t>
  </si>
  <si>
    <t xml:space="preserve">…que, si la prima es actuarialmente justa, este segundo termino sera nulo y se obtiene el resultado fuerte de MODIGLIANI-MILLER: el valor total del banco es independiente de su estructura financiera. Sin embargo, es facil comprobar el pr…</t>
  </si>
  <si>
    <t xml:space="preserve">MILLER (1977); Miller (1977)</t>
  </si>
  <si>
    <t xml:space="preserve">…o solamente hasta cierto punto. Pasado dicho punto, el valor de la empresa comienza a disminuir. specialblock MILLER (1977) -- Impuestos personales: sobre dividendos Mas adelante, Miller (1977) incluyo impuestos personales afirmando…</t>
  </si>
  <si>
    <t xml:space="preserve">Mercados imperfectos: Teoria de la jerarquia financiera</t>
  </si>
  <si>
    <t xml:space="preserve">jerarquia financiera; Jerarquia Financiera</t>
  </si>
  <si>
    <t xml:space="preserve">…es que se ajustan) y no del margen intensivo (el tamano medio del ajuste). Mercados imperfectos: Teoria de la jerarquia financiera Hasta ahora hemos omitido la incidencia de las condiciones financieras y, mas concretamente, de las imperfecc…</t>
  </si>
  <si>
    <t xml:space="preserve">Pecking order; pecking order; MYERS y MAJLUF</t>
  </si>
  <si>
    <t xml:space="preserve">…incluir todo el desarrollo del ejemplo para que quede mas claro, se puede encontrar en el Tema de ICEX-CECO. Pecking order Theory: MYERS (1984) Una forma alternativa de incorporar el supuesto de informacion incompleta es a traves de…</t>
  </si>
  <si>
    <t xml:space="preserve">VASICEK</t>
  </si>
  <si>
    <t xml:space="preserve">…da en el modelo ASFR (Asymptotic Single Risk Factor), desarrollado por GORDY (2003), y en las aportaciones de VASICEK, que permiten modelar las tasas de incumplimiento de una cartera formada por un numero muy elevado de exposic…</t>
  </si>
  <si>
    <t xml:space="preserve">SVENSSON</t>
  </si>
  <si>
    <t xml:space="preserve">…por el sesgo inflacionario que existia en el caso de las politicas discrecionales. Aportaciones posteriores (SVENSSON, 1997) demuestran que la implementacion del contrato optimo de inflacion sera factible si se exige a la autor…</t>
  </si>
  <si>
    <t xml:space="preserve">SVENSSON; Svensson</t>
  </si>
  <si>
    <t xml:space="preserve">…ro ceda, y la estabilizacion se retrasa hasta que el coste de no hacer nada se vuelve insoportable. PERSSON y SVENSSON (1989) y ALESINA y TABELLINI (1990) anadieron el argumento de la deuda estrategica: un gobierno que preve per…</t>
  </si>
  <si>
    <t xml:space="preserve">DIAMOND y DYBVIG; Diamond y Dybvig; Diamond-Dybyig</t>
  </si>
  <si>
    <t xml:space="preserve">…para hacer frente a tal volumen de liquidaciones, cuestion que fue estudiada a raiz del modelo propuesto por DIAMOND y DYBVIG (1983), que veremos mas en detalle en la seccion correspondiente. ¿Como podemos gestionar este riesgo? Es dec…</t>
  </si>
  <si>
    <t xml:space="preserve">DIAMOND y DYBVIG</t>
  </si>
  <si>
    <t xml:space="preserve">…sa estructura crea valor, pero tambien abre la posibilidad de panicos, corridas y liquidaciones ineficientes (DIAMOND y DYBVIG). El concepto central es, por tanto, el riesgo financiero: la posibilidad de perdidas o disrupciones derivada…</t>
  </si>
  <si>
    <t xml:space="preserve">ALLEN y GALE</t>
  </si>
  <si>
    <t xml:space="preserve">…os como los de GORTON (1985, 1988), JACKLIN y BHATTACHARYA (1988), CHARI y JAGANNATHAN (1988), ALONSO (1996), ALLEN y GALE (1998) y SAMARTIN (2002), se senala que son los ciclos economicos y la informacion adquirida por algunos depo…</t>
  </si>
  <si>
    <t xml:space="preserve">STIGLITZ-WEISS</t>
  </si>
  <si>
    <t xml:space="preserve">…ar a un equlibrio con racionamiento de credito (sub-optimo). El modelo canonico en este campo es el Modelo de STIGLITZ-WEISS (1981). Se puede ver el desarrollo analitico completo de este modelo en [ Apuntes ICEX-CECO Tema 3.A.7 ] De f…</t>
  </si>
  <si>
    <t xml:space="preserve">STIGLITZ y WEISS</t>
  </si>
  <si>
    <t xml:space="preserve">…su observacion resulta crucial para garantizar la buena salud de la economia. En los 80, otros autores, como STIGLITZ y WEISS (1981)5, y GERTLER (1988) incluyeron el concepto de informacion asimetrica, es decir situaciones en las que u…</t>
  </si>
  <si>
    <t xml:space="preserve">MINSKY</t>
  </si>
  <si>
    <t xml:space="preserve">…ya se producira). Otro ejemplo de teoria objeto de la misma critica es la teoria de las crisis financieras de MINSKY: si aun no se ha producido una crisis financiera como resultado de un periodo de estabilidad, se producira en…</t>
  </si>
  <si>
    <t xml:space="preserve">MINSKY; Minsky</t>
  </si>
  <si>
    <t xml:space="preserve">…a . Algunos autores catalogados dentro de esta escuela son J. ROBINSON, N. KALDOR, M. KALECKI, P. SRAFFA y H. MINSKY. En la decada de los anos 60's y 70's, hubo otros autores descontentos con la falta de microfundamentos de la…</t>
  </si>
  <si>
    <t xml:space="preserve">…redictibilidad y el analisis longitudinal . Por ejemplo, es caracteristico el Modelo de Ciclos financieros de MINSKY. Podria ser interesante introducirlo por estas razones. red Recomendaciones Victor : Introduccion -- 1.35 Mar…</t>
  </si>
  <si>
    <t xml:space="preserve">…ue queremos decir? ¿Como se transmite esta adversidad y como podemos reducir nuestra exposicion? REINHART y KAMINSKY (2000) distinguen dos tipos de contagio: (i) basado en fundamentos, cuando el pais en crisis tiene vinculos c…</t>
  </si>
  <si>
    <t xml:space="preserve">Teoria del Ciclo Conducutual: MINSKY (1989)</t>
  </si>
  <si>
    <t xml:space="preserve">…por que una crisis contenida puede pasar a ser una crisis financiera sistemica. Teoria del Ciclo Conducutual: MINSKY (1989) Para verlo vamos a presentar en primer lugar la Teoria del Ciclo Conductual de MINSKY, sobre el cual s…</t>
  </si>
  <si>
    <t xml:space="preserve">…Una de las aproximaciones pioneras en esta rama de la literatura es la Teoria de la fragilidad financiera de MINSKY (1975, 1982), que defiende que toda economia capitalista es intrinsecamente inestable, ya que las fases de es…</t>
  </si>
  <si>
    <t xml:space="preserve">Modelo DICE: Supuestos y desarrollo</t>
  </si>
  <si>
    <t xml:space="preserve">…r monetario de la externalidad negativa que produce la emision de una tonelada adicional de CO _2 . El modelo DICE, referencia esencial en la economia del cambio climatico, integra la emision y acumulacion de gases de efecto…</t>
  </si>
  <si>
    <t xml:space="preserve">R-DICE / C-DICE</t>
  </si>
  <si>
    <t xml:space="preserve">R-DICE; C-DICE</t>
  </si>
  <si>
    <t xml:space="preserve">…Economy ), propuesto por NORDHAUS y POPP (1997), que anadieron incertidumbre al modelo RICE; (iii) el Modelo R-DICE ( Research and DICE Model ), propuesto por NORDHAUS (2010), que introduce la innovacion en el modelo DICE com…</t>
  </si>
  <si>
    <t xml:space="preserve">RICE (regional, Nordhaus-Yang 1996)</t>
  </si>
  <si>
    <t xml:space="preserve">RICE</t>
  </si>
  <si>
    <t xml:space="preserve">…ericanos a precios de 2018. Bajo esta politica optima, el calentamiento global superaria los 3o C . El modelo RICE regionaliza el modelo DICE, permitiendo desagregar los costes y beneficios del cambio climatico y las politic…</t>
  </si>
  <si>
    <t xml:space="preserve">…dores. De entre las alternativas mas destacadas estan: (i) el Policy Analysis of the Greenhouse Effect Model (PAGE), desarrollado por HOPE en la Universidad de Cambridge (RU), que vio la luz en 1993, con la publicacion del a…</t>
  </si>
  <si>
    <t xml:space="preserve">Modelo EDGEWORTH; modelo de EDGEWORTH; modelo similar al de EDGEWORTH</t>
  </si>
  <si>
    <t xml:space="preserve">…ir, proporcionar una forma sistematica de pensar sobre la compensacion «correcta» entre equidad y eficiencia. Modelo EDGEWORTH: Funcion de bienestar social La primera aproximacion analitica relativa a la construccion de un sistema de re…</t>
  </si>
  <si>
    <t xml:space="preserve">EDGEWORTH (1897); modelo de Edgeworth; modelo similar al de EDGEWORTH</t>
  </si>
  <si>
    <t xml:space="preserve">…era sistematica de pensar sobre el equilibrio correcto entre equidad y eficiencia. specialblock Antecedentes: EDGEWORTH (1897) A finales del siglo XIX, Edgeworth [1959/1897] examino la cuestion de la imposicion optima sobre la renta uti…</t>
  </si>
  <si>
    <t xml:space="preserve">EDGEWORTH (1897)</t>
  </si>
  <si>
    <t xml:space="preserve">…ermitiera, el fundamento teorico mas extremo en favor de la progresividad. Este resultado fue formalizado por EDGEWORTH (1897), como veremos mas adelante. Limitaciones: ¿se pueden realizar comparaciones interpersonales de utilidad? (L.…</t>
  </si>
  <si>
    <t xml:space="preserve">dinero En modelos CIA, el valor del dinero es el multiplicador de Lagrange asociado a esa restriccion; y, En modelos de busqueda; busqueda de la mejor oferta (reduciendo su tiempo de ocio y demanda de dinero); o, (ii) aumentar su demanda de dinero; dinero en contextos de busqueda; KIYOTAKI y WRIGHT; dinero por motivo transaccion -ya sean de tipo Cash-in-Advance, shopping-time o de busqueda</t>
  </si>
  <si>
    <t xml:space="preserve">…empo o bienes), modelos Shopping-Time, el valor se deriva de los recursos que puedan ahorrarse por el uso del dinero En modelos CIA, el valor del dinero es el multiplicador de Lagrange asociado a esa restriccion; y, En modelos de busqueda, el rendimiento del dinero depende de la probabilidad de su aceptacion por otros agentes. lnum La demanda de…</t>
  </si>
  <si>
    <t xml:space="preserve">Modelos de costes de ajuste | Modelo de referencia: Costes de ajuste convexos o cuadraticos | Modelo alternativo: Costes de ajustes lineales</t>
  </si>
  <si>
    <t xml:space="preserve">Modelos de costes de ajuste; modelicemos los costes de ajuste; Costes de ajuste convexos; costes de ajuste convexos</t>
  </si>
  <si>
    <t xml:space="preserve">…El equilibrio se puede describir en terminos graficos, subrayando la importancia de la Curva de BEVERIDGE; y, Modelos de costes de ajuste, planteando la demanda dinamica del trabajo como punto de partida (Marco Neoclasico enfoque intertemporal) y…</t>
  </si>
  <si>
    <t xml:space="preserve">costes de ajuste convexos</t>
  </si>
  <si>
    <t xml:space="preserve">…q marginal son iguales (HAYASHI, 1982). Para entender por que, hay que recordar que la empresa se enfrenta a costes de ajuste convexos. Decir que hay rendimientos constantes en los costes de ajuste significa algo muy concreto: si duplicamos el…</t>
  </si>
  <si>
    <t xml:space="preserve">Modelo de Programacion Financiera: Marco Teorico</t>
  </si>
  <si>
    <t xml:space="preserve">programacion financiera; Programacion Financiera</t>
  </si>
  <si>
    <t xml:space="preserve">…na duracion entre 1 y 4 anos. Fondo Monetaria Internacional: Implementacion practica El Modelo tradicional de programacion financiera del FMI esta orientado al ajuste de un pais con problemas de competitividad exterior, de disciplina fiscal y/…</t>
  </si>
  <si>
    <t xml:space="preserve">enfoque intertemporal</t>
  </si>
  <si>
    <t xml:space="preserve">…en equilibrio en todo momento. Sin embargo, desde los anos 80, autores como OBSTFELD y ROGOFF desarrollan el enfoque intertemporal de la balanza de pagos, segun el cual, la capacidad o necesidad de financiacion de un pais es el resultado de…</t>
  </si>
  <si>
    <t xml:space="preserve">Desequilibrios dinamicos: Enfoque Intertemporal (Posicion de Inversion Internacional)</t>
  </si>
  <si>
    <t xml:space="preserve">enfoque intertemporal; Enfoque Intertemporal</t>
  </si>
  <si>
    <t xml:space="preserve">…imientos de capitales en la determinacion del equilibrio externo. Finalmente, cerraremos el tema abordando el enfoque intertemporal de la balanza de pagos. A diferencia de las teorias anteriores, que se centran en como corregir los desequili…</t>
  </si>
  <si>
    <t xml:space="preserve">Efectos: Modelo intertemporal de consumo con restricciones de capital</t>
  </si>
  <si>
    <t xml:space="preserve">Modelo intertemporal de consumo</t>
  </si>
  <si>
    <t xml:space="preserve">…iones que genero el sistema fueron tales que practicamente los flujos comerciales fueron destruidos. Efectos: Modelo intertemporal de consumo con restricciones de capital Para introducir este nuevo enfoque, presentaremos el modelo de OBSTFELD-ROGOFF (…</t>
  </si>
  <si>
    <t xml:space="preserve">…lanza de pagos. la Analisis intertemporal de la financiacion del desarrollo La literatura teorica relativa al enfoque intertemporal de determinacion de la balanza por cuenta corriente se ha desarrollado desde principios de los anos 80, funda…</t>
  </si>
  <si>
    <t xml:space="preserve">fundamentalistas y chartistas</t>
  </si>
  <si>
    <t xml:space="preserve">…senta un activo financiero determinado por decisiones especulativas de agentes con expectativas heterogeneas (fundamentalistas y chartistas). Desarrollo formal: Multi-pais, multi-sector y multi-agente DOMENICO et al., (2024) Multi-pais y multi-secto…</t>
  </si>
  <si>
    <t xml:space="preserve">fundamentalistas saben cual va a ser el comportamiento de los chartistas; fundamentalistas y chartistas; FRANKEL y FROOT; fundamentalistas observen la pujanza de los chartistas</t>
  </si>
  <si>
    <t xml:space="preserve">…Por otro lado, estan los fundamentalistas (que se mueven por el valor intrinseco de las divisas). ▪ Como los fundamentalistas saben cual va a ser el comportamiento de los chartistas, pueden dudar de que el tipo de cambio vaya a retornar a su valor de equilibrio. Estas dudas pueden hacerlos…</t>
  </si>
  <si>
    <t xml:space="preserve">chartistas en contraposicion con los fundamentalistas; fundamentalistas saben cual va a ser el comportamiento de los chartistas; fundamentalistas observen la pujanza de los chartistas; fundamentalistas serian el primer termino y el segundo termino los chartistas; fundamentalistas y chartistas</t>
  </si>
  <si>
    <t xml:space="preserve">…su prediccion (prediccion sin explicacion). Los analistas que utilizan analisis tecnico son a menudo llamados chartistas en contraposicion con los fundamentalistas que confian en los fundamentales propuestos por la teoria economica. Generalmente, se habla indistintamente d…</t>
  </si>
  <si>
    <t xml:space="preserve">GRIMALDI</t>
  </si>
  <si>
    <t xml:space="preserve">…derablemente del que vendria dado por los fundamentales. ▪Este tipo de comportamientos ha sido modelizado por GRIMALDI y DE GRAUWE (The exchange rate in a behavioral finance framework, 2006). A behavioral finance model of the ex…</t>
  </si>
  <si>
    <t xml:space="preserve">Expectativas heterogeneas: GRIMALDI y DE GRAUWE</t>
  </si>
  <si>
    <t xml:space="preserve">…s (renta, oferta de dinero, etc.) presentan una capacidad predictiva tan reducida. Expectativas heterogeneas: GRIMALDI y DE GRAUWE Las aportaciones de FOOT y THALER fueron modelizadas por GRIMALDI y DE GRAUWE. Los autores, sobre…</t>
  </si>
  <si>
    <t xml:space="preserve">Grauwe y Grimaldi; GRAUWE y GRIMALDI</t>
  </si>
  <si>
    <t xml:space="preserve">…omportamiento gregario, generando gran volatilidad que, a su vez, se transmite a las economias nacionales (De Grauwe y Grimaldi, 2006). Sobre la base de estos argumentos, el nuevo MUNDELL paso a considerar la union monetaria como una for…</t>
  </si>
  <si>
    <t xml:space="preserve">Tema (repo)</t>
  </si>
  <si>
    <t xml:space="preserve">Título</t>
  </si>
  <si>
    <t xml:space="preserve">Nº modelos</t>
  </si>
  <si>
    <t xml:space="preserve">Modelos detectados</t>
  </si>
  <si>
    <t xml:space="preserve">Observación</t>
  </si>
  <si>
    <t xml:space="preserve">Utilidad esperada; Teoría prospectiva; Descuento cuasi-hiperbólico; Mercado de limones (selección adversa); Equilibrio general walrasiano / Arrow-Debreu; Imposición / tarificación óptima de Ramsey; Imposición óptima sobre la renta; Ciclo Real (RBC); Inconsistencia temporal de la política; Islas de Lucas (información imperfecta); DSGE; Modelos basados en agentes (ABM); Salarios de eficiencia; Heckscher-Ohlin; Empresas heterogéneas; Modelo de gravedad; Mecanismo flujo-especie-precio; Mundell-Fleming; Nueva macroeconomía de economía abierta (NOEM); Selección de carteras media-varianza; Inestabilidad financiera</t>
  </si>
  <si>
    <t xml:space="preserve">Tableau économique; Modelo malthusiano de población; Modelo ricardiano; Mecanismo flujo-especie-precio; Enfoque de elasticidades</t>
  </si>
  <si>
    <t xml:space="preserve">Economía de Robinson Crusoe; Utilidad esperada; Elección ocio-consumo (oferta de trabajo neoclásica); Irrelevancia de la estructura financiera</t>
  </si>
  <si>
    <t xml:space="preserve">Competencia monopolística; Análisis envolvente de datos (DEA); IS-LM; Oferta y demanda agregadas; Modelos de desequilibrio; DSGE; Modelos VAR; Acelerador de la inversión; q de Tobin; Harrod-Domar; Enfoque de elasticidades; Inestabilidad financiera</t>
  </si>
  <si>
    <t xml:space="preserve">Tableau économique; Tablas input-output; IS-LM; DSGE; Renta permanente; Ciclo vital; Acelerador de la inversión; q de Tobin; Hiperinflación; Harrod-Domar; Mundell-Fleming; Modelo monetario del tipo de cambio (precios flexibles); CAPM; Irrelevancia de la estructura financiera</t>
  </si>
  <si>
    <t xml:space="preserve">Elección ocio-consumo (oferta de trabajo neoclásica); Ciudad lineal (diferenciación espacial); Equilibrio general walrasiano / Arrow-Debreu; Ciclo político; IS-LM; Ciclo Real (RBC); Inconsistencia temporal de la política; Islas de Lucas (información imperfecta); Costes de menú; DSGE; Modelos VAR; Ciclo vital; Teoría neoclásica de la inversión; Cash-in-advance (CIA); Aritmética monetarista desagradable; Salarios de eficiencia; Ramsey-Cass-Koopmans; Curva de tipos paramétrica</t>
  </si>
  <si>
    <t xml:space="preserve">Utilidad esperada; Elección ocio-consumo (oferta de trabajo neoclásica); Competencia monopolística; Mercado de limones (selección adversa); Equilibrio general walrasiano / Arrow-Debreu; IS-LM; Ciclo Real (RBC); Islas de Lucas (información imperfecta); Contratos escalonados (rigidez nominal); Costes de menú; Información rígida; Nuevo keynesiano de tres ecuaciones (NEK-2); DSGE; Modelos basados en agentes (ABM); Acelerador de la inversión; Salarios de eficiencia; Búsqueda y emparejamiento (DMP); Expansión de variedades (I+D); Racionamiento del crédito</t>
  </si>
  <si>
    <t xml:space="preserve">Utilidad esperada; Capital humano</t>
  </si>
  <si>
    <t xml:space="preserve">Utilidad esperada; Teoría prospectiva; Mercado de limones (selección adversa); Filtrado en mercado de seguros; Equilibrio general walrasiano / Arrow-Debreu; Evasión fiscal; Renta permanente; Selección de carteras media-varianza</t>
  </si>
  <si>
    <t xml:space="preserve">Tablas input-output; Dos brechas</t>
  </si>
  <si>
    <t xml:space="preserve">Análisis envolvente de datos (DEA); Frontera estocástica (SFA)</t>
  </si>
  <si>
    <t xml:space="preserve">Utilidad esperada; Principal-agente; Mercado de limones (selección adversa); Filtrado en mercado de seguros; Señalización en el mercado de trabajo; Imposición óptima sobre la renta; Salarios de eficiencia</t>
  </si>
  <si>
    <t xml:space="preserve">Utilidad esperada; Competencia monopolística; Mercados disputables; Maximización de ventas; Maximización del crecimiento de la empresa; Preferencia por el gasto (discrecionalidad directiva); Principal-agente; Regulación con información asimétrica; Teoría de la captura del regulador; Burocracia maximizadora del presupuesto; Búsqueda y emparejamiento (DMP); Escalera de calidad (destrucción creadora); Paradigma ecléctico OLI</t>
  </si>
  <si>
    <t xml:space="preserve">El main.tex se titula "Tema 3.A.9"; revisar</t>
  </si>
  <si>
    <t xml:space="preserve">Competencia monopolística; Modelo AK; Modelo monetario del tipo de cambio (precios flexibles)</t>
  </si>
  <si>
    <t xml:space="preserve">El main.tex se titula "Tema 3.A.16"; revisar</t>
  </si>
  <si>
    <t xml:space="preserve">Competencia monopolística; Duopolio de Cournot; Duopolio de Bertrand; Ciudad lineal (diferenciación espacial)</t>
  </si>
  <si>
    <t xml:space="preserve">Utilidad esperada; Competencia monopolística; Duopolio de Cournot; Duopolio de Bertrand; Liderazgo de Stackelberg; Ciudad lineal (diferenciación espacial); Precio límite</t>
  </si>
  <si>
    <t xml:space="preserve">Competencia monopolística; Sobrecapitalización bajo regulación por tasa de rendimiento; Regulación con información asimétrica; Teoría de la captura del regulador; Imposición / tarificación óptima de Ramsey; Ciclo político; Inconsistencia temporal de la política; DSGE</t>
  </si>
  <si>
    <t xml:space="preserve">Equilibrio general walrasiano / Arrow-Debreu; Equilibrio general computable (CGE); Modelos de desequilibrio; DSGE; Dinero en la función de utilidad (MIU); Cash-in-advance (CIA); Ramsey-Cass-Koopmans; Generaciones solapadas</t>
  </si>
  <si>
    <t xml:space="preserve">Elección ocio-consumo (oferta de trabajo neoclásica); Imposición / tarificación óptima de Ramsey; Evasión fiscal; Uniones aduaneras: creación y desviación de comercio</t>
  </si>
  <si>
    <t xml:space="preserve">Principal-agente; Equilibrio general walrasiano / Arrow-Debreu; Teoría de la captura del regulador; Imposición / tarificación óptima de Ramsey; Votar con los pies; Teoría de los clubes; Bienes públicos: provisión eficiente; Inconsistencia temporal de la política</t>
  </si>
  <si>
    <t xml:space="preserve">Equilibrio general walrasiano / Arrow-Debreu; Votante mediano; Bienes públicos: provisión eficiente</t>
  </si>
  <si>
    <t xml:space="preserve">Asignación del tiempo; Elección ocio-consumo (oferta de trabajo neoclásica); Señalización en el mercado de trabajo; Ciclo Real (RBC); Ciclo vital; Teoría neoclásica de la inversión; Monopolio sindical</t>
  </si>
  <si>
    <t xml:space="preserve">Islas de Lucas (información imperfecta); Búsqueda y emparejamiento (DMP); Costes de ajuste (demanda dinámica de factores)</t>
  </si>
  <si>
    <t xml:space="preserve">Principal-agente; Mercado de limones (selección adversa); Equilibrio general walrasiano / Arrow-Debreu; Salarios de eficiencia; Insiders-outsiders; Monopolio sindical</t>
  </si>
  <si>
    <t xml:space="preserve">Competencia monopolística; IS-LM; Contratos escalonados (rigidez nominal); Nuevo keynesiano de tres ecuaciones (NEK-2); DSGE; Acelerador de la inversión; Insiders-outsiders; Búsqueda y emparejamiento (DMP); NAIRU / WS-PS</t>
  </si>
  <si>
    <t xml:space="preserve">Economía de Robinson Crusoe; Utilidad esperada; Descuento cuasi-hiperbólico; Equilibrio general walrasiano / Arrow-Debreu; Ciclo Real (RBC); Inconsistencia temporal de la política; DSGE; Modelos basados en agentes (ABM); Modelos ARMA/ARIMA; Renta permanente; Ramsey-Cass-Koopmans; Generaciones solapadas</t>
  </si>
  <si>
    <t xml:space="preserve">Tableau économique; Tablas input-output; Dos brechas</t>
  </si>
  <si>
    <t xml:space="preserve">Análisis envolvente de datos (DEA); Ciclo Real (RBC); Contratos escalonados (rigidez nominal); Nuevo keynesiano de tres ecuaciones (NEK-2); DSGE; Modelos basados en agentes (ABM); Modelos VAR; Acelerador financiero; Mundell-Fleming; Nueva macroeconomía de economía abierta (NOEM); Chartistas y fundamentalistas (agentes heterogéneos en divisas)</t>
  </si>
  <si>
    <t xml:space="preserve">Teoría prospectiva; Principal-agente; Inconsistencia temporal de la política; Renta permanente; Ciclo vital; Renta relativa; Modelo monetario del tipo de cambio (precios flexibles)</t>
  </si>
  <si>
    <t xml:space="preserve">Principal-agente; Costes de menú; Teoría neoclásica de la inversión; q de Tobin; Opciones reales de inversión; Acelerador financiero; Jerarquía financiera (pecking order); Costes de ajuste (demanda dinámica de factores)</t>
  </si>
  <si>
    <t xml:space="preserve">Economía de Robinson Crusoe; Elección ocio-consumo (oferta de trabajo neoclásica); IS-LM; Costes de menú; Nuevo keynesiano de tres ecuaciones (NEK-2); DSGE; Modelos VAR; Renta permanente; Demanda de dinero por inventario; Dinero en la función de utilidad (MIU); Cash-in-advance (CIA); Suavización impositiva; Ramsey-Cass-Koopmans; Generaciones solapadas; Capital humano; Búsqueda monetaria</t>
  </si>
  <si>
    <t xml:space="preserve">IS-LM; Inconsistencia temporal de la política; Elección del instrumento de política monetaria</t>
  </si>
  <si>
    <t xml:space="preserve">Competencia monopolística; Contratos escalonados (rigidez nominal); Nuevo keynesiano de tres ecuaciones (NEK-2); DSGE; Modelos VAR; Renta permanente; Acelerador financiero; Suavización impositiva</t>
  </si>
  <si>
    <t xml:space="preserve">Imposición / tarificación óptima de Ramsey; IS-LM; Nuevo keynesiano de tres ecuaciones (NEK-2); Renta permanente; Suavización impositiva; Generaciones solapadas; Modelo AK; Mundell-Fleming</t>
  </si>
  <si>
    <t xml:space="preserve">Imposición / tarificación óptima de Ramsey; Votante mediano; IS-LM; Renta permanente; Generaciones solapadas; Irrelevancia de la estructura financiera</t>
  </si>
  <si>
    <t xml:space="preserve">Modelo keynesiano simple (renta-gasto / aspa keynesiana); IS-LM; Ciclo Real (RBC); Inconsistencia temporal de la política; Nuevo keynesiano de tres ecuaciones (NEK-2); Renta permanente; Modelo AK</t>
  </si>
  <si>
    <t xml:space="preserve">Elección ocio-consumo (oferta de trabajo neoclásica); Competencia monopolística; Contratos escalonados (rigidez nominal); Costes de menú; Nuevo keynesiano de tres ecuaciones (NEK-2); DSGE; Renta permanente; Acelerador de la inversión; Acelerador financiero; Demanda de dinero por inventario; Cash-in-advance (CIA); Hiperinflación; NAIRU / WS-PS; Factores específicos; Modelo monetario del tipo de cambio (precios flexibles)</t>
  </si>
  <si>
    <t xml:space="preserve">Utilidad esperada; Competencia monopolística; Equilibrio general walrasiano / Arrow-Debreu; Oferta y demanda agregadas; Ciclo Real (RBC); Contratos escalonados (rigidez nominal); Costes de menú; Nuevo keynesiano de tres ecuaciones (NEK-2); DSGE; Modelos VAR; Modelos ARMA/ARIMA; Acelerador de la inversión; Acelerador financiero; Dinero en la función de utilidad (MIU); Ramsey-Cass-Koopmans; Modelo monetario del tipo de cambio (precios flexibles); Nueva macroeconomía de economía abierta (NOEM); Inestabilidad financiera</t>
  </si>
  <si>
    <t xml:space="preserve">Solow-Swan; Ramsey-Cass-Koopmans</t>
  </si>
  <si>
    <t xml:space="preserve">Competencia monopolística; Solow-Swan; Modelo AK; Capital humano; Expansión de variedades (I+D); Escalera de calidad (destrucción creadora)</t>
  </si>
  <si>
    <t xml:space="preserve">El main.tex se titula "Tema 3.A.43"; revisar</t>
  </si>
  <si>
    <t xml:space="preserve">3.B.1</t>
  </si>
  <si>
    <t xml:space="preserve">La información financiera de las empresas</t>
  </si>
  <si>
    <t xml:space="preserve">— (ningún modelo del catálogo)</t>
  </si>
  <si>
    <t xml:space="preserve">Inconsistencia temporal de la política; Opciones reales de inversión; Selección de carteras media-varianza; CAPM; APT (arbitraje); Valoración de opciones; Descuento de dividendos / crecimiento constante; Irrelevancia de la estructura financiera</t>
  </si>
  <si>
    <t xml:space="preserve">Principal-agente; Ciclo vital; Irrelevancia de la estructura financiera; Jerarquía financiera (pecking order)</t>
  </si>
  <si>
    <t xml:space="preserve">Opciones reales de inversión; CAPM; Valoración de opciones; Descuento de dividendos / crecimiento constante</t>
  </si>
  <si>
    <t xml:space="preserve">Modelo ricardiano; Factores específicos; Heckscher-Ohlin; Nueva teoría del comercio (rendimientos crecientes); Empresas heterogéneas</t>
  </si>
  <si>
    <t xml:space="preserve">Competencia monopolística; Modelo ricardiano; Heckscher-Ohlin; Nueva teoría del comercio (rendimientos crecientes); Empresas heterogéneas; Modelo de gravedad</t>
  </si>
  <si>
    <t xml:space="preserve">Competencia monopolística; Votante mediano; Modelo ricardiano; Nueva teoría del comercio (rendimientos crecientes); Empresas heterogéneas; Modelo de gravedad; Uniones aduaneras: creación y desviación de comercio</t>
  </si>
  <si>
    <t xml:space="preserve">Liderazgo de Stackelberg; Centro-periferia (estructuralismo); Heckscher-Ohlin; Empresas heterogéneas; Política comercial estratégica</t>
  </si>
  <si>
    <t xml:space="preserve">Tablas input-output; Equilibrio general computable (CGE); Gran impulso (big push); Centro-periferia (estructuralismo); Empresas heterogéneas</t>
  </si>
  <si>
    <t xml:space="preserve">Competencia monopolística; Equilibrio general computable (CGE); Búsqueda y emparejamiento (DMP); Centro-periferia (estructuralismo); Nueva teoría del comercio (rendimientos crecientes); Empresas heterogéneas; Modelo de gravedad; Nueva geografía económica (centro-periferia); Uniones aduaneras: creación y desviación de comercio; Nueva macroeconomía de economía abierta (NOEM)</t>
  </si>
  <si>
    <t xml:space="preserve">Nueva macroeconomía de economía abierta (NOEM); Crisis cambiarias de primera generación; Enfoque intertemporal de la cuenta corriente</t>
  </si>
  <si>
    <t xml:space="preserve">Inconsistencia temporal de la política; Nuevo keynesiano de tres ecuaciones (NEK-2); DSGE; Mecanismo flujo-especie-precio; Enfoque de elasticidades; Mundell-Fleming; Equilibrio de cartera; Nueva macroeconomía de economía abierta (NOEM); Enfoque intertemporal de la cuenta corriente</t>
  </si>
  <si>
    <t xml:space="preserve">El main.tex se titula "Tema 3.B.11"; revisar</t>
  </si>
  <si>
    <t xml:space="preserve">Utilidad esperada; Teoría prospectiva; Equilibrio de cartera; CAPM; APT (arbitraje); Chartistas y fundamentalistas (agentes heterogéneos en divisas)</t>
  </si>
  <si>
    <t xml:space="preserve">Utilidad esperada; Análisis envolvente de datos (DEA); Modelo keynesiano simple (renta-gasto / aspa keynesiana); Modelos basados en agentes (ABM); Renta permanente; Renta relativa; Empresas heterogéneas; Mundell-Fleming; Modelo monetario del tipo de cambio (precios flexibles); Equilibrio de cartera; Efecto Balassa-Samuelson; Nueva macroeconomía de economía abierta (NOEM); CAPM; APT (arbitraje); Chartistas y fundamentalistas (agentes heterogéneos en divisas)</t>
  </si>
  <si>
    <t xml:space="preserve">IS-LM; Inconsistencia temporal de la política; Modelos VAR; Modelo de gravedad; Mundell-Fleming; Modelo monetario del tipo de cambio (precios flexibles); Nueva macroeconomía de economía abierta (NOEM); Áreas monetarias óptimas; Crisis cambiarias de primera generación; Crisis cambiarias de segunda generación; Crisis cambiarias de tercera generación; Enfoque intertemporal de la cuenta corriente</t>
  </si>
  <si>
    <t xml:space="preserve">Liderazgo de Stackelberg; Mercado de limones (selección adversa); Inconsistencia temporal de la política; Elección del instrumento de política monetaria; Monopolio sindical; Solow-Swan; Nueva teoría del comercio (rendimientos crecientes); Empresas heterogéneas; Modelo de gravedad; Nueva geografía económica (centro-periferia); Modelo monetario del tipo de cambio (precios flexibles); Efecto Balassa-Samuelson; Áreas monetarias óptimas; Crisis cambiarias de primera generación; Chartistas y fundamentalistas (agentes heterogéneos en divisas)</t>
  </si>
  <si>
    <t xml:space="preserve">Inconsistencia temporal de la política; Acelerador de la inversión; Nueva teoría del comercio (rendimientos crecientes); Nueva geografía económica (centro-periferia); Zona objetivo; Crisis cambiarias de primera generación; Crisis cambiarias de segunda generación; Crisis cambiarias de tercera generación; Inestabilidad financiera</t>
  </si>
  <si>
    <t xml:space="preserve">Tablas input-output; Gran impulso (big push); Factores específicos; Heckscher-Ohlin; Modelo de gravedad; Uniones aduaneras: creación y desviación de comercio; Inversión extranjera y movilidad de capital; Equilibrio de cartera</t>
  </si>
  <si>
    <t xml:space="preserve">IS-LM; Inconsistencia temporal de la política; Nuevo keynesiano de tres ecuaciones (NEK-2); Mundell-Fleming; Modelo monetario del tipo de cambio (precios flexibles); Nueva macroeconomía de economía abierta (NOEM); Coordinación internacional de políticas (teoría de juegos)</t>
  </si>
  <si>
    <t xml:space="preserve">Acelerador de la inversión; Ciclo de vida del producto; Crisis cambiarias de primera generación</t>
  </si>
  <si>
    <t xml:space="preserve">Modelo AK; Crisis cambiarias de primera generación</t>
  </si>
  <si>
    <t xml:space="preserve">Enfoque monetario de la balanza de pagos; Programación financiera del FMI</t>
  </si>
  <si>
    <t xml:space="preserve">Equilibrio de cartera; Selección de carteras media-varianza; CAPM; APT (arbitraje); Descuento de dividendos / crecimiento constante</t>
  </si>
  <si>
    <t xml:space="preserve">3.B.24</t>
  </si>
  <si>
    <t xml:space="preserve">Análisis de los instrumentos financieros de renta fija</t>
  </si>
  <si>
    <t xml:space="preserve">DSGE; Opciones reales de inversión; Valoración de opciones</t>
  </si>
  <si>
    <t xml:space="preserve">Principal-agente; Mercado de limones (selección adversa); Inconsistencia temporal de la política; Modelos ARMA/ARIMA; Modelos ARCH/GARCH; Acelerador financiero; Crisis cambiarias de primera generación; Valoración de opciones; Riesgo de crédito estructural; Irrelevancia de la estructura financiera; Estructura temporal de tipos (modelos de tipo corto); Pánicos bancarios; Racionamiento del crédito; Inestabilidad financiera</t>
  </si>
  <si>
    <t xml:space="preserve">Principal-agente; Inconsistencia temporal de la política; Modelos ARCH/GARCH; Irrelevancia de la estructura financiera; Estructura temporal de tipos (modelos de tipo corto); Pánicos bancarios; Inestabilidad financiera</t>
  </si>
  <si>
    <t xml:space="preserve">Imposición óptima sobre la renta; Ramsey-Cass-Koopmans; Modelo AK</t>
  </si>
  <si>
    <t xml:space="preserve">Renta permanente; Harrod-Domar; Dos brechas; Nueva macroeconomía de economía abierta (NOEM); Enfoque intertemporal de la cuenta corriente</t>
  </si>
  <si>
    <t xml:space="preserve">3.B.30</t>
  </si>
  <si>
    <t xml:space="preserve">El Grupo del Banco Mundial</t>
  </si>
  <si>
    <t xml:space="preserve">DSGE; Ramsey-Cass-Koopmans; Modelo monetario del tipo de cambio (precios flexibles); DICE; PAGE</t>
  </si>
  <si>
    <t xml:space="preserve">Tablas input-output; Centro-periferia (estructuralismo)</t>
  </si>
  <si>
    <t xml:space="preserve">Gran impulso (big push); Áreas monetarias óptimas</t>
  </si>
  <si>
    <t xml:space="preserve">3.B.36</t>
  </si>
  <si>
    <t xml:space="preserve">Unión Europea (I)</t>
  </si>
  <si>
    <t xml:space="preserve">3.B.37</t>
  </si>
  <si>
    <t xml:space="preserve">Unión Europea (II)</t>
  </si>
  <si>
    <t xml:space="preserve">3.B.38</t>
  </si>
  <si>
    <t xml:space="preserve">Unión Europea (III)</t>
  </si>
  <si>
    <t xml:space="preserve">Teoría de la captura del regulador; Acelerador de la inversión; Expansión de variedades (I+D); Uniones aduaneras: creación y desviación de comercio; Inversión extranjera y movilidad de capital</t>
  </si>
  <si>
    <t xml:space="preserve">3.B.41</t>
  </si>
  <si>
    <t xml:space="preserve">Unión Europea (VI): Política Comercial de la UE</t>
  </si>
  <si>
    <t xml:space="preserve">3.B.42</t>
  </si>
  <si>
    <t xml:space="preserve">Unión Europea (VII): Relaciones económicas exteriores de la UE</t>
  </si>
  <si>
    <t xml:space="preserve">DSGE; Modelo monetario del tipo de cambio (precios flexibles); Áreas monetarias óptimas; Crisis cambiarias de segunda generación</t>
  </si>
  <si>
    <t xml:space="preserve">3.B.44</t>
  </si>
  <si>
    <t xml:space="preserve">Unión Bancaria</t>
  </si>
  <si>
    <t xml:space="preserve">4.B.7</t>
  </si>
  <si>
    <t xml:space="preserve">Teoría impositiva (I): Ingresos públicos</t>
  </si>
  <si>
    <t xml:space="preserve">Incidencia impositiva en equilibrio general; Teoría neoclásica de la inversión</t>
  </si>
  <si>
    <t xml:space="preserve">Mercado de limones (selección adversa); Imposición / tarificación óptima de Ramsey; Imposición óptima sobre la renta; Imposición y asunción de riesgos; Renta permanente; Imposición progresiva utilitarista (sacrificio mínimo)</t>
  </si>
  <si>
    <t xml:space="preserve">Imposición / tarificación óptima de Ramsey; Imposición óptima sobre la renta; Imposición óptima del capital (tipo cero a largo plazo); Administración tributaria óptima; Evasión fiscal; Inconsistencia temporal de la política; Imposición progresiva utilitarista (sacrificio mínimo)</t>
  </si>
  <si>
    <t xml:space="preserve">Mercado de limones (selección adversa); Imposición óptima sobre la renta; Imposición óptima del capital (tipo cero a largo plazo); Incidencia impositiva en equilibrio general; Votar con los pies; Teorema de la descentralización; Leviatán; Bienes públicos: provisión eficiente; Renta permanente; Imposición progresiva utilitarista (sacrificio mínimo)</t>
  </si>
  <si>
    <t xml:space="preserve">Tableau économique; Imposición / tarificación óptima de Ramsey; Imposición óptima sobre la renta; Imposición óptima del capital (tipo cero a largo plazo); Leviatán; Renta permanente</t>
  </si>
  <si>
    <t xml:space="preserve">Principal-agente; Votar con los pies; Teorema de la descentralización; Teoría de los clubes; Burocracia maximizadora del presupuesto; Leviatán; Votante mediano; Bienes públicos: provisión eficiente; Mundell-Fleming; Áreas monetarias óptimas</t>
  </si>
  <si>
    <t xml:space="preserve">Mercados disputables; Principal-agente; Mercado de limones (selección adversa); Burocracia maximizadora del presupuesto; Renta permanente</t>
  </si>
  <si>
    <t xml:space="preserve">Imposición óptima sobre la renta; Imposición óptima del capital (tipo cero a largo plazo)</t>
  </si>
  <si>
    <t xml:space="preserve">Votar con los pies; DSGE</t>
  </si>
  <si>
    <t xml:space="preserve">Votar con los pies; Teorema de la descentralización; Ciclo vital</t>
  </si>
  <si>
    <t xml:space="preserve">Imposición / tarificación óptima de Ramsey; Imposición óptima sobre la renta</t>
  </si>
  <si>
    <t xml:space="preserve">Teorema de la descentralización; Ciclo político; Inconsistencia temporal de la política</t>
  </si>
  <si>
    <t xml:space="preserve">Descuento cuasi-hiperbólico; Mercado de limones (selección adversa); Filtrado en mercado de seguros; Teorema de la descentralización; Burocracia maximizadora del presupuesto; Votante mediano; Ciclo político; Inconsistencia temporal de la política; Renta relativa; Generaciones solapadas</t>
  </si>
  <si>
    <t xml:space="preserve">Votar con los pies; Teorema de la descentralización; Burocracia maximizadora del presupuesto; Leviatán; Votante mediano; Inconsistencia temporal de la política; Renta relativa; Suavización impositiva</t>
  </si>
  <si>
    <t xml:space="preserve">Inconsistencia temporal de la política; Renta permanente; Aritmética monetarista desagradable; Suavización impositiva; Harrod-Domar; Modelo monetario del tipo de cambio (precios flexibles); Nueva macroeconomía de economía abierta (NOEM); Curva de tipos paramétrica</t>
  </si>
  <si>
    <t xml:space="preserve">Qué contiene</t>
  </si>
  <si>
    <t xml:space="preserve">Resumen</t>
  </si>
  <si>
    <t xml:space="preserve">Una fila por modelo original: temas donde aparece él o cualquier variante suya, temas donde se desarrolla y variantes encontradas.</t>
  </si>
  <si>
    <t xml:space="preserve">Matriz</t>
  </si>
  <si>
    <t xml:space="preserve">Modelos × temas con intensidad (D/T/M). Sirve para ver qué temas comparten modelos (base para inferir relaciones).</t>
  </si>
  <si>
    <t xml:space="preserve">Detalle</t>
  </si>
  <si>
    <t xml:space="preserve">Una fila por modelo-forma-tema, con nº de menciones, epígrafe, expresiones literales y un fragmento de contexto para verificar.</t>
  </si>
  <si>
    <t xml:space="preserve">Temas</t>
  </si>
  <si>
    <t xml:space="preserve">Inventario de los 107 temas con los modelos detectados en cada uno.</t>
  </si>
  <si>
    <t xml:space="preserve">Método</t>
  </si>
  <si>
    <t xml:space="preserve">1</t>
  </si>
  <si>
    <t xml:space="preserve">Se clonaron los 107 repositorios y se extrajo el cuerpo de cada .tex (desde \begin{document}), sin comentarios LaTeX ni las entradas \MyBibItem (la plantilla repite una referencia a DAWID y GATTI en 64 temas y generaba falsos positivos).</t>
  </si>
  <si>
    <t xml:space="preserve">2</t>
  </si>
  <si>
    <t xml:space="preserve">Catálogo de 158 modelos originales con sus variantes, construido a partir de los nombres que el propio temario usa ("modelo de X", epígrafes, autores en mayúsculas) y del canon de la oposición. Cada forma se busca con patrones tolerantes a erratas del temario (p. ej. HECKSHER, MUNDELL-FLEMMING, ROTSCHILD-STIGLIZ, SIDRAUSKY, STACKLEBERG).</t>
  </si>
  <si>
    <t xml:space="preserve">3</t>
  </si>
  <si>
    <t xml:space="preserve">Los apellidos ambiguos solo cuentan con contexto de modelo, año o coautor (p. ej. "Solow" ≠ salarios de eficiencia de Solow; "Edgeworth" duopolio ≠ Edgeworth fiscal; "MIU" ≠ Mercado Interior Único; "CIA" ≠ agencia de inteligencia; "EGC" ≠ equilibrio general competitivo).</t>
  </si>
  <si>
    <t xml:space="preserve">4</t>
  </si>
  <si>
    <t xml:space="preserve">Intensidad: D si el modelo aparece en un epígrafe o tiene ≥5 menciones; T con 2–4; M con 1. Es una aproximación: una mención larga sin epígrafe puede ser un desarrollo real.</t>
  </si>
  <si>
    <t xml:space="preserve">Límites</t>
  </si>
  <si>
    <t xml:space="preserve">Cobertura</t>
  </si>
  <si>
    <t xml:space="preserve">Solo se detectan modelos del catálogo. Un modelo citado sin nombre reconocible (p. ej. "el modelo neoclásico" genérico) no aparece. Conceptos que no son modelos (curvas de Phillips/Laffer, teoremas, hipótesis de mercados eficientes) se han dejado fuera a propósito.</t>
  </si>
  <si>
    <t xml:space="preserve">Agrupación</t>
  </si>
  <si>
    <t xml:space="preserve">Original vs. variante es una decisión de criterio (p. ej. IS-LM-BP como variante de Mundell-Fleming; Galí-Monacelli dentro de NOEM; Barro-Gordon dentro de inconsistencia temporal de Kydland-Prescott). Ajustable en una segunda pasada.</t>
  </si>
  <si>
    <t xml:space="preserve">Contenido incompleto</t>
  </si>
  <si>
    <t xml:space="preserve">Varios temas tienen apartados vacíos (p. ej. 3.B.9, 3.A.45). Un modelo ausente en un tema puede deberse a que el apartado aún no está redactado.</t>
  </si>
  <si>
    <t xml:space="preserve">Exclusiones manuales</t>
  </si>
  <si>
    <t xml:space="preserve">Análisis envolvente de datos (DEA) [todas las formas] en 3.B.4; Búsqueda monetaria [todas las formas] en 3.A.15; Búsqueda y emparejamiento (DMP) [todas las formas] en 3.A.35; Chartistas y fundamentalistas (agentes heterogéneos en divisas) [todas las formas] en 3.B.36; Duopolio de Bertrand [Bertrand-Edgeworth (restricciones de capacidad)] en 3.A.3; Duopolio de Bertrand [Bertrand-Edgeworth (restricciones de capacidad)] en 3.A.16; Duopolio de Bertrand [Bertrand-Edgeworth (restricciones de capacidad)] en 4.B.10; Duopolio de Bertrand [Bertrand-Edgeworth (restricciones de capacidad)] en 4.B.11; Duopolio de Bertrand [Bertrand-Edgeworth (restricciones de capacidad)] en 4.B.12; Duopolio de Cournot [todas las formas] en 3.A.17; Enfoque intertemporal de la cuenta corriente [todas las formas] en 3.A.25; Enfoque intertemporal de la cuenta corriente [todas las formas] en 3.A.26; Imposición progresiva utilitarista (sacrificio mínimo) [todas las formas] en 3.A.19; Ramsey-Cass-Koopmans [todas las formas] en 4.B.11; Señalización en el mercado de trabajo [todas las formas] en 3.B.13; Señalización en el mercado de trabajo [todas las formas] en 3.B.15; Solow-Swan [todas las formas] en 3.A.7; Solow-Swan [todas las formas] en 3.A.27; Tablas input-output [todas las formas] en 3.A.27</t>
  </si>
  <si>
    <t xml:space="preserve">Modelos del catálogo sin aparición</t>
  </si>
  <si>
    <t xml:space="preserve">Modelo del trigo (grano) de Ricardo (Ricardo (1815)); Esquemas de reproducción de Marx (Marx (1885)); Grupos de presión (Becker (1983)); Economía dual (Lewis (1954)); Etapas del crecimiento (Rostow (1960)); Demanda representativa / solapamiento de demanda (Linder (1961)); Protección en venta (economía política) (Grossman-Helpman (1994)); Crecimiento empobrecedor (Bhagwati (1958)); Internacionalización gradual (Johanson-Vahlne (Uppsala, 1977)); Enfoque de absorción (Alexander (1952)); Economía dependiente (bienes comerciables/no comerciables) (Salter (1959) / Swan (1960)); Noise traders (De Long-Shleifer-Summers-Waldmann (1990)); Predicción de insolvencia (Z-score) (Altman (1968)); Análisis DuPont de rentabilidad (DuPont (1919)); Cinco fuerzas competitivas (Porter (1979)); Matriz producto-mercado (Ansoff (1957)); Crecimiento de la empresa (Penrose (1959)); FUND (Tol (1997))</t>
  </si>
  <si>
    <t xml:space="preserve">Incidencias del repositorio</t>
  </si>
  <si>
    <t xml:space="preserve">Repos ausentes</t>
  </si>
  <si>
    <t xml:space="preserve">3.A.14; 4.B.1–4.B.6; 4.B.18; 4.B.22 (no existen en la organización).</t>
  </si>
  <si>
    <t xml:space="preserve">Títulos que no cuadran</t>
  </si>
  <si>
    <t xml:space="preserve">repo 3.A.15 → main.tex dice "Tema 3.A.9"; repo 3.A.17 → main.tex dice "Tema 3.A.16"; repo 3.A.44 → main.tex dice "Tema 3.A.43"; repo 3.B.12 → main.tex dice "Tema 3.B.11"</t>
  </si>
  <si>
    <t xml:space="preserve">Ficheros con otro nombre</t>
  </si>
  <si>
    <t xml:space="preserve">4.B.24, 4.B.25 y 4.B.26 no tienen main.tex (usan 4_B_24.tex, etc.).</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</si>
</sst>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6" fillId="2" borderId="0" xfId="0" applyFont="true" applyBorder="false" applyAlignment="true" applyProtection="false">
      <alignment horizontal="center" vertical="bottom" textRotation="0" wrapText="true" indent="0" shrinkToFit="false"/>
      <protection locked="true" hidden="false"/>
    </xf>
    <xf numFmtId="164" fontId="6" fillId="2" borderId="0" xfId="0" applyFont="true" applyBorder="false" applyAlignment="true" applyProtection="false">
      <alignment horizontal="center" vertical="bottom" textRotation="9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ont>
        <name val="Arial"/>
        <charset val="1"/>
        <family val="0"/>
        <color rgb="FFFFFFFF"/>
        <sz val="9"/>
      </font>
      <fill>
        <patternFill>
          <bgColor rgb="FF1F3864"/>
        </patternFill>
      </fill>
    </dxf>
    <dxf>
      <font>
        <name val="Arial"/>
        <charset val="1"/>
        <family val="0"/>
        <color rgb="FF000000"/>
        <sz val="9"/>
      </font>
      <fill>
        <patternFill>
          <bgColor rgb="FF8EA9DB"/>
        </patternFill>
      </fill>
    </dxf>
    <dxf>
      <font>
        <name val="Arial"/>
        <charset val="1"/>
        <family val="0"/>
        <color rgb="FF000000"/>
        <sz val="9"/>
      </font>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Detalle" displayName="Detalle" ref="A1:J742" headerRowCount="1" totalsRowCount="0" totalsRowShown="0">
  <autoFilter ref="A1:J742"/>
  <tableColumns count="10">
    <tableColumn id="1" name="Área"/>
    <tableColumn id="2" name="Modelo (versión original)"/>
    <tableColumn id="3" name="Forma detectada"/>
    <tableColumn id="4" name="Tema"/>
    <tableColumn id="5" name="Título del tema"/>
    <tableColumn id="6" name="Nº menciones"/>
    <tableColumn id="7" name="En epígrafe"/>
    <tableColumn id="8" name="Intensidad"/>
    <tableColumn id="9" name="Expresiones encontradas"/>
    <tableColumn id="10" name="Contexto (1er fragment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8"/>
    <col collapsed="false" customWidth="true" hidden="false" outlineLevel="0" max="3" min="3" style="0" width="30"/>
    <col collapsed="false" customWidth="true" hidden="false" outlineLevel="0" max="7" min="4" style="0" width="9"/>
    <col collapsed="false" customWidth="true" hidden="false" outlineLevel="0" max="8" min="8" style="0" width="42"/>
    <col collapsed="false" customWidth="true" hidden="false" outlineLevel="0" max="9" min="9" style="0" width="30"/>
    <col collapsed="false" customWidth="true" hidden="false" outlineLevel="0" max="10" min="10" style="0" width="48"/>
    <col collapsed="false" customWidth="true" hidden="false" outlineLevel="0" max="11" min="11" style="0" width="20"/>
  </cols>
  <sheetData>
    <row r="1" customFormat="false" ht="16.15" hidden="false" customHeight="false" outlineLevel="0" collapsed="false">
      <c r="A1" s="1" t="s">
        <v>0</v>
      </c>
    </row>
    <row r="2" customFormat="false" ht="27.75" hidden="false" customHeight="true" outlineLevel="0" collapsed="false">
      <c r="A2" s="2" t="s">
        <v>1</v>
      </c>
      <c r="B2" s="2"/>
      <c r="C2" s="2"/>
      <c r="D2" s="2"/>
      <c r="E2" s="2"/>
      <c r="F2" s="2"/>
      <c r="G2" s="2"/>
      <c r="H2" s="2"/>
      <c r="I2" s="2"/>
      <c r="J2" s="2"/>
      <c r="K2" s="2"/>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23.85" hidden="false" customHeight="false" outlineLevel="0" collapsed="false">
      <c r="A5" s="4" t="s">
        <v>13</v>
      </c>
      <c r="B5" s="5" t="s">
        <v>14</v>
      </c>
      <c r="C5" s="4" t="s">
        <v>15</v>
      </c>
      <c r="D5" s="6" t="n">
        <f aca="false">COUNTA(Matriz!D2:CV2)</f>
        <v>4</v>
      </c>
      <c r="E5" s="6" t="n">
        <f aca="false">SUMPRODUCT((LEFT(Matriz!$D$1:$CV$1,3)="3.A")*(Matriz!D2:CV2&lt;&gt;""))</f>
        <v>3</v>
      </c>
      <c r="F5" s="6" t="n">
        <f aca="false">SUMPRODUCT((LEFT(Matriz!$D$1:$CV$1,3)="3.B")*(Matriz!D2:CV2&lt;&gt;""))</f>
        <v>0</v>
      </c>
      <c r="G5" s="6" t="n">
        <f aca="false">SUMPRODUCT((LEFT(Matriz!$D$1:$CV$1,3)="4.B")*(Matriz!D2:CV2&lt;&gt;""))</f>
        <v>1</v>
      </c>
      <c r="H5" s="4" t="s">
        <v>16</v>
      </c>
      <c r="I5" s="4" t="s">
        <v>17</v>
      </c>
      <c r="J5" s="4" t="s">
        <v>17</v>
      </c>
      <c r="K5" s="4" t="s">
        <v>17</v>
      </c>
    </row>
    <row r="6" customFormat="false" ht="23.85" hidden="false" customHeight="false" outlineLevel="0" collapsed="false">
      <c r="A6" s="4" t="s">
        <v>13</v>
      </c>
      <c r="B6" s="5" t="s">
        <v>18</v>
      </c>
      <c r="C6" s="4" t="s">
        <v>19</v>
      </c>
      <c r="D6" s="6" t="n">
        <f aca="false">COUNTA(Matriz!D3:CV3)</f>
        <v>1</v>
      </c>
      <c r="E6" s="6" t="n">
        <f aca="false">SUMPRODUCT((LEFT(Matriz!$D$1:$CV$1,3)="3.A")*(Matriz!D3:CV3&lt;&gt;""))</f>
        <v>1</v>
      </c>
      <c r="F6" s="6" t="n">
        <f aca="false">SUMPRODUCT((LEFT(Matriz!$D$1:$CV$1,3)="3.B")*(Matriz!D3:CV3&lt;&gt;""))</f>
        <v>0</v>
      </c>
      <c r="G6" s="6" t="n">
        <f aca="false">SUMPRODUCT((LEFT(Matriz!$D$1:$CV$1,3)="4.B")*(Matriz!D3:CV3&lt;&gt;""))</f>
        <v>0</v>
      </c>
      <c r="H6" s="4" t="s">
        <v>20</v>
      </c>
      <c r="I6" s="4" t="s">
        <v>17</v>
      </c>
      <c r="J6" s="4" t="s">
        <v>17</v>
      </c>
      <c r="K6" s="4" t="s">
        <v>17</v>
      </c>
    </row>
    <row r="7" customFormat="false" ht="23.85" hidden="false" customHeight="false" outlineLevel="0" collapsed="false">
      <c r="A7" s="4" t="s">
        <v>13</v>
      </c>
      <c r="B7" s="5" t="s">
        <v>21</v>
      </c>
      <c r="C7" s="4" t="s">
        <v>22</v>
      </c>
      <c r="D7" s="6" t="n">
        <f aca="false">COUNTA(Matriz!D4:CV4)</f>
        <v>3</v>
      </c>
      <c r="E7" s="6" t="n">
        <f aca="false">SUMPRODUCT((LEFT(Matriz!$D$1:$CV$1,3)="3.A")*(Matriz!D4:CV4&lt;&gt;""))</f>
        <v>3</v>
      </c>
      <c r="F7" s="6" t="n">
        <f aca="false">SUMPRODUCT((LEFT(Matriz!$D$1:$CV$1,3)="3.B")*(Matriz!D4:CV4&lt;&gt;""))</f>
        <v>0</v>
      </c>
      <c r="G7" s="6" t="n">
        <f aca="false">SUMPRODUCT((LEFT(Matriz!$D$1:$CV$1,3)="4.B")*(Matriz!D4:CV4&lt;&gt;""))</f>
        <v>0</v>
      </c>
      <c r="H7" s="4" t="s">
        <v>23</v>
      </c>
      <c r="I7" s="4" t="s">
        <v>17</v>
      </c>
      <c r="J7" s="4" t="s">
        <v>17</v>
      </c>
      <c r="K7" s="4" t="s">
        <v>17</v>
      </c>
    </row>
    <row r="8" customFormat="false" ht="23.85" hidden="false" customHeight="false" outlineLevel="0" collapsed="false">
      <c r="A8" s="4" t="s">
        <v>24</v>
      </c>
      <c r="B8" s="5" t="s">
        <v>25</v>
      </c>
      <c r="C8" s="4" t="s">
        <v>26</v>
      </c>
      <c r="D8" s="6" t="n">
        <f aca="false">COUNTA(Matriz!D5:CV5)</f>
        <v>12</v>
      </c>
      <c r="E8" s="6" t="n">
        <f aca="false">SUMPRODUCT((LEFT(Matriz!$D$1:$CV$1,3)="3.A")*(Matriz!D5:CV5&lt;&gt;""))</f>
        <v>10</v>
      </c>
      <c r="F8" s="6" t="n">
        <f aca="false">SUMPRODUCT((LEFT(Matriz!$D$1:$CV$1,3)="3.B")*(Matriz!D5:CV5&lt;&gt;""))</f>
        <v>2</v>
      </c>
      <c r="G8" s="6" t="n">
        <f aca="false">SUMPRODUCT((LEFT(Matriz!$D$1:$CV$1,3)="4.B")*(Matriz!D5:CV5&lt;&gt;""))</f>
        <v>0</v>
      </c>
      <c r="H8" s="4" t="s">
        <v>27</v>
      </c>
      <c r="I8" s="4" t="s">
        <v>28</v>
      </c>
      <c r="J8" s="4" t="s">
        <v>29</v>
      </c>
      <c r="K8" s="4" t="s">
        <v>17</v>
      </c>
    </row>
    <row r="9" customFormat="false" ht="15" hidden="false" customHeight="false" outlineLevel="0" collapsed="false">
      <c r="A9" s="4" t="s">
        <v>24</v>
      </c>
      <c r="B9" s="5" t="s">
        <v>30</v>
      </c>
      <c r="C9" s="4" t="s">
        <v>31</v>
      </c>
      <c r="D9" s="6" t="n">
        <f aca="false">COUNTA(Matriz!D6:CV6)</f>
        <v>4</v>
      </c>
      <c r="E9" s="6" t="n">
        <f aca="false">SUMPRODUCT((LEFT(Matriz!$D$1:$CV$1,3)="3.A")*(Matriz!D6:CV6&lt;&gt;""))</f>
        <v>3</v>
      </c>
      <c r="F9" s="6" t="n">
        <f aca="false">SUMPRODUCT((LEFT(Matriz!$D$1:$CV$1,3)="3.B")*(Matriz!D6:CV6&lt;&gt;""))</f>
        <v>1</v>
      </c>
      <c r="G9" s="6" t="n">
        <f aca="false">SUMPRODUCT((LEFT(Matriz!$D$1:$CV$1,3)="4.B")*(Matriz!D6:CV6&lt;&gt;""))</f>
        <v>0</v>
      </c>
      <c r="H9" s="4" t="s">
        <v>32</v>
      </c>
      <c r="I9" s="4" t="s">
        <v>28</v>
      </c>
      <c r="J9" s="4" t="s">
        <v>17</v>
      </c>
      <c r="K9" s="4" t="s">
        <v>17</v>
      </c>
    </row>
    <row r="10" customFormat="false" ht="15" hidden="false" customHeight="false" outlineLevel="0" collapsed="false">
      <c r="A10" s="4" t="s">
        <v>24</v>
      </c>
      <c r="B10" s="5" t="s">
        <v>33</v>
      </c>
      <c r="C10" s="4" t="s">
        <v>34</v>
      </c>
      <c r="D10" s="6" t="n">
        <f aca="false">COUNTA(Matriz!D7:CV7)</f>
        <v>3</v>
      </c>
      <c r="E10" s="6" t="n">
        <f aca="false">SUMPRODUCT((LEFT(Matriz!$D$1:$CV$1,3)="3.A")*(Matriz!D7:CV7&lt;&gt;""))</f>
        <v>2</v>
      </c>
      <c r="F10" s="6" t="n">
        <f aca="false">SUMPRODUCT((LEFT(Matriz!$D$1:$CV$1,3)="3.B")*(Matriz!D7:CV7&lt;&gt;""))</f>
        <v>0</v>
      </c>
      <c r="G10" s="6" t="n">
        <f aca="false">SUMPRODUCT((LEFT(Matriz!$D$1:$CV$1,3)="4.B")*(Matriz!D7:CV7&lt;&gt;""))</f>
        <v>1</v>
      </c>
      <c r="H10" s="4" t="s">
        <v>35</v>
      </c>
      <c r="I10" s="4" t="s">
        <v>17</v>
      </c>
      <c r="J10" s="4" t="s">
        <v>17</v>
      </c>
      <c r="K10" s="4" t="s">
        <v>17</v>
      </c>
    </row>
    <row r="11" customFormat="false" ht="15" hidden="false" customHeight="false" outlineLevel="0" collapsed="false">
      <c r="A11" s="4" t="s">
        <v>24</v>
      </c>
      <c r="B11" s="5" t="s">
        <v>36</v>
      </c>
      <c r="C11" s="4" t="s">
        <v>37</v>
      </c>
      <c r="D11" s="6" t="n">
        <f aca="false">COUNTA(Matriz!D8:CV8)</f>
        <v>1</v>
      </c>
      <c r="E11" s="6" t="n">
        <f aca="false">SUMPRODUCT((LEFT(Matriz!$D$1:$CV$1,3)="3.A")*(Matriz!D8:CV8&lt;&gt;""))</f>
        <v>1</v>
      </c>
      <c r="F11" s="6" t="n">
        <f aca="false">SUMPRODUCT((LEFT(Matriz!$D$1:$CV$1,3)="3.B")*(Matriz!D8:CV8&lt;&gt;""))</f>
        <v>0</v>
      </c>
      <c r="G11" s="6" t="n">
        <f aca="false">SUMPRODUCT((LEFT(Matriz!$D$1:$CV$1,3)="4.B")*(Matriz!D8:CV8&lt;&gt;""))</f>
        <v>0</v>
      </c>
      <c r="H11" s="4" t="s">
        <v>38</v>
      </c>
      <c r="I11" s="4" t="s">
        <v>38</v>
      </c>
      <c r="J11" s="4" t="s">
        <v>17</v>
      </c>
      <c r="K11" s="4" t="s">
        <v>17</v>
      </c>
    </row>
    <row r="12" customFormat="false" ht="23.85" hidden="false" customHeight="false" outlineLevel="0" collapsed="false">
      <c r="A12" s="4" t="s">
        <v>24</v>
      </c>
      <c r="B12" s="5" t="s">
        <v>39</v>
      </c>
      <c r="C12" s="4" t="s">
        <v>40</v>
      </c>
      <c r="D12" s="6" t="n">
        <f aca="false">COUNTA(Matriz!D9:CV9)</f>
        <v>7</v>
      </c>
      <c r="E12" s="6" t="n">
        <f aca="false">SUMPRODUCT((LEFT(Matriz!$D$1:$CV$1,3)="3.A")*(Matriz!D9:CV9&lt;&gt;""))</f>
        <v>7</v>
      </c>
      <c r="F12" s="6" t="n">
        <f aca="false">SUMPRODUCT((LEFT(Matriz!$D$1:$CV$1,3)="3.B")*(Matriz!D9:CV9&lt;&gt;""))</f>
        <v>0</v>
      </c>
      <c r="G12" s="6" t="n">
        <f aca="false">SUMPRODUCT((LEFT(Matriz!$D$1:$CV$1,3)="4.B")*(Matriz!D9:CV9&lt;&gt;""))</f>
        <v>0</v>
      </c>
      <c r="H12" s="4" t="s">
        <v>41</v>
      </c>
      <c r="I12" s="4" t="s">
        <v>42</v>
      </c>
      <c r="J12" s="4" t="s">
        <v>17</v>
      </c>
      <c r="K12" s="4" t="s">
        <v>17</v>
      </c>
    </row>
    <row r="13" customFormat="false" ht="35.05" hidden="false" customHeight="false" outlineLevel="0" collapsed="false">
      <c r="A13" s="4" t="s">
        <v>24</v>
      </c>
      <c r="B13" s="5" t="s">
        <v>43</v>
      </c>
      <c r="C13" s="4" t="s">
        <v>44</v>
      </c>
      <c r="D13" s="6" t="n">
        <f aca="false">COUNTA(Matriz!D10:CV10)</f>
        <v>15</v>
      </c>
      <c r="E13" s="6" t="n">
        <f aca="false">SUMPRODUCT((LEFT(Matriz!$D$1:$CV$1,3)="3.A")*(Matriz!D10:CV10&lt;&gt;""))</f>
        <v>12</v>
      </c>
      <c r="F13" s="6" t="n">
        <f aca="false">SUMPRODUCT((LEFT(Matriz!$D$1:$CV$1,3)="3.B")*(Matriz!D10:CV10&lt;&gt;""))</f>
        <v>3</v>
      </c>
      <c r="G13" s="6" t="n">
        <f aca="false">SUMPRODUCT((LEFT(Matriz!$D$1:$CV$1,3)="4.B")*(Matriz!D10:CV10&lt;&gt;""))</f>
        <v>0</v>
      </c>
      <c r="H13" s="4" t="s">
        <v>45</v>
      </c>
      <c r="I13" s="4" t="s">
        <v>46</v>
      </c>
      <c r="J13" s="4" t="s">
        <v>47</v>
      </c>
      <c r="K13" s="4" t="s">
        <v>48</v>
      </c>
    </row>
    <row r="14" customFormat="false" ht="15" hidden="false" customHeight="false" outlineLevel="0" collapsed="false">
      <c r="A14" s="4" t="s">
        <v>24</v>
      </c>
      <c r="B14" s="5" t="s">
        <v>49</v>
      </c>
      <c r="C14" s="4" t="s">
        <v>50</v>
      </c>
      <c r="D14" s="6" t="n">
        <f aca="false">COUNTA(Matriz!D11:CV11)</f>
        <v>2</v>
      </c>
      <c r="E14" s="6" t="n">
        <f aca="false">SUMPRODUCT((LEFT(Matriz!$D$1:$CV$1,3)="3.A")*(Matriz!D11:CV11&lt;&gt;""))</f>
        <v>2</v>
      </c>
      <c r="F14" s="6" t="n">
        <f aca="false">SUMPRODUCT((LEFT(Matriz!$D$1:$CV$1,3)="3.B")*(Matriz!D11:CV11&lt;&gt;""))</f>
        <v>0</v>
      </c>
      <c r="G14" s="6" t="n">
        <f aca="false">SUMPRODUCT((LEFT(Matriz!$D$1:$CV$1,3)="4.B")*(Matriz!D11:CV11&lt;&gt;""))</f>
        <v>0</v>
      </c>
      <c r="H14" s="4" t="s">
        <v>51</v>
      </c>
      <c r="I14" s="4" t="s">
        <v>51</v>
      </c>
      <c r="J14" s="4" t="s">
        <v>52</v>
      </c>
      <c r="K14" s="4" t="s">
        <v>17</v>
      </c>
    </row>
    <row r="15" customFormat="false" ht="15" hidden="false" customHeight="false" outlineLevel="0" collapsed="false">
      <c r="A15" s="4" t="s">
        <v>24</v>
      </c>
      <c r="B15" s="5" t="s">
        <v>53</v>
      </c>
      <c r="C15" s="4" t="s">
        <v>54</v>
      </c>
      <c r="D15" s="6" t="n">
        <f aca="false">COUNTA(Matriz!D12:CV12)</f>
        <v>2</v>
      </c>
      <c r="E15" s="6" t="n">
        <f aca="false">SUMPRODUCT((LEFT(Matriz!$D$1:$CV$1,3)="3.A")*(Matriz!D12:CV12&lt;&gt;""))</f>
        <v>2</v>
      </c>
      <c r="F15" s="6" t="n">
        <f aca="false">SUMPRODUCT((LEFT(Matriz!$D$1:$CV$1,3)="3.B")*(Matriz!D12:CV12&lt;&gt;""))</f>
        <v>0</v>
      </c>
      <c r="G15" s="6" t="n">
        <f aca="false">SUMPRODUCT((LEFT(Matriz!$D$1:$CV$1,3)="4.B")*(Matriz!D12:CV12&lt;&gt;""))</f>
        <v>0</v>
      </c>
      <c r="H15" s="4" t="s">
        <v>51</v>
      </c>
      <c r="I15" s="4" t="s">
        <v>51</v>
      </c>
      <c r="J15" s="4" t="s">
        <v>55</v>
      </c>
      <c r="K15" s="4" t="s">
        <v>17</v>
      </c>
    </row>
    <row r="16" customFormat="false" ht="15" hidden="false" customHeight="false" outlineLevel="0" collapsed="false">
      <c r="A16" s="4" t="s">
        <v>24</v>
      </c>
      <c r="B16" s="5" t="s">
        <v>56</v>
      </c>
      <c r="C16" s="4" t="s">
        <v>57</v>
      </c>
      <c r="D16" s="6" t="n">
        <f aca="false">COUNTA(Matriz!D13:CV13)</f>
        <v>3</v>
      </c>
      <c r="E16" s="6" t="n">
        <f aca="false">SUMPRODUCT((LEFT(Matriz!$D$1:$CV$1,3)="3.A")*(Matriz!D13:CV13&lt;&gt;""))</f>
        <v>1</v>
      </c>
      <c r="F16" s="6" t="n">
        <f aca="false">SUMPRODUCT((LEFT(Matriz!$D$1:$CV$1,3)="3.B")*(Matriz!D13:CV13&lt;&gt;""))</f>
        <v>2</v>
      </c>
      <c r="G16" s="6" t="n">
        <f aca="false">SUMPRODUCT((LEFT(Matriz!$D$1:$CV$1,3)="4.B")*(Matriz!D13:CV13&lt;&gt;""))</f>
        <v>0</v>
      </c>
      <c r="H16" s="4" t="s">
        <v>58</v>
      </c>
      <c r="I16" s="4" t="s">
        <v>59</v>
      </c>
      <c r="J16" s="4" t="s">
        <v>17</v>
      </c>
      <c r="K16" s="4" t="s">
        <v>17</v>
      </c>
    </row>
    <row r="17" customFormat="false" ht="23.85" hidden="false" customHeight="false" outlineLevel="0" collapsed="false">
      <c r="A17" s="4" t="s">
        <v>24</v>
      </c>
      <c r="B17" s="5" t="s">
        <v>60</v>
      </c>
      <c r="C17" s="4" t="s">
        <v>61</v>
      </c>
      <c r="D17" s="6" t="n">
        <f aca="false">COUNTA(Matriz!D14:CV14)</f>
        <v>3</v>
      </c>
      <c r="E17" s="6" t="n">
        <f aca="false">SUMPRODUCT((LEFT(Matriz!$D$1:$CV$1,3)="3.A")*(Matriz!D14:CV14&lt;&gt;""))</f>
        <v>3</v>
      </c>
      <c r="F17" s="6" t="n">
        <f aca="false">SUMPRODUCT((LEFT(Matriz!$D$1:$CV$1,3)="3.B")*(Matriz!D14:CV14&lt;&gt;""))</f>
        <v>0</v>
      </c>
      <c r="G17" s="6" t="n">
        <f aca="false">SUMPRODUCT((LEFT(Matriz!$D$1:$CV$1,3)="4.B")*(Matriz!D14:CV14&lt;&gt;""))</f>
        <v>0</v>
      </c>
      <c r="H17" s="4" t="s">
        <v>62</v>
      </c>
      <c r="I17" s="4" t="s">
        <v>63</v>
      </c>
      <c r="J17" s="4" t="s">
        <v>64</v>
      </c>
      <c r="K17" s="4" t="s">
        <v>42</v>
      </c>
    </row>
    <row r="18" customFormat="false" ht="15" hidden="false" customHeight="false" outlineLevel="0" collapsed="false">
      <c r="A18" s="4" t="s">
        <v>24</v>
      </c>
      <c r="B18" s="5" t="s">
        <v>65</v>
      </c>
      <c r="C18" s="4" t="s">
        <v>66</v>
      </c>
      <c r="D18" s="6" t="n">
        <f aca="false">COUNTA(Matriz!D15:CV15)</f>
        <v>1</v>
      </c>
      <c r="E18" s="6" t="n">
        <f aca="false">SUMPRODUCT((LEFT(Matriz!$D$1:$CV$1,3)="3.A")*(Matriz!D15:CV15&lt;&gt;""))</f>
        <v>1</v>
      </c>
      <c r="F18" s="6" t="n">
        <f aca="false">SUMPRODUCT((LEFT(Matriz!$D$1:$CV$1,3)="3.B")*(Matriz!D15:CV15&lt;&gt;""))</f>
        <v>0</v>
      </c>
      <c r="G18" s="6" t="n">
        <f aca="false">SUMPRODUCT((LEFT(Matriz!$D$1:$CV$1,3)="4.B")*(Matriz!D15:CV15&lt;&gt;""))</f>
        <v>0</v>
      </c>
      <c r="H18" s="4" t="s">
        <v>67</v>
      </c>
      <c r="I18" s="4" t="s">
        <v>67</v>
      </c>
      <c r="J18" s="4" t="s">
        <v>17</v>
      </c>
      <c r="K18" s="4" t="s">
        <v>17</v>
      </c>
    </row>
    <row r="19" customFormat="false" ht="23.85" hidden="false" customHeight="false" outlineLevel="0" collapsed="false">
      <c r="A19" s="4" t="s">
        <v>24</v>
      </c>
      <c r="B19" s="5" t="s">
        <v>68</v>
      </c>
      <c r="C19" s="4" t="s">
        <v>69</v>
      </c>
      <c r="D19" s="6" t="n">
        <f aca="false">COUNTA(Matriz!D16:CV16)</f>
        <v>1</v>
      </c>
      <c r="E19" s="6" t="n">
        <f aca="false">SUMPRODUCT((LEFT(Matriz!$D$1:$CV$1,3)="3.A")*(Matriz!D16:CV16&lt;&gt;""))</f>
        <v>1</v>
      </c>
      <c r="F19" s="6" t="n">
        <f aca="false">SUMPRODUCT((LEFT(Matriz!$D$1:$CV$1,3)="3.B")*(Matriz!D16:CV16&lt;&gt;""))</f>
        <v>0</v>
      </c>
      <c r="G19" s="6" t="n">
        <f aca="false">SUMPRODUCT((LEFT(Matriz!$D$1:$CV$1,3)="4.B")*(Matriz!D16:CV16&lt;&gt;""))</f>
        <v>0</v>
      </c>
      <c r="H19" s="4" t="s">
        <v>59</v>
      </c>
      <c r="I19" s="4" t="s">
        <v>17</v>
      </c>
      <c r="J19" s="4" t="s">
        <v>70</v>
      </c>
      <c r="K19" s="4" t="s">
        <v>17</v>
      </c>
    </row>
    <row r="20" customFormat="false" ht="15" hidden="false" customHeight="false" outlineLevel="0" collapsed="false">
      <c r="A20" s="4" t="s">
        <v>24</v>
      </c>
      <c r="B20" s="5" t="s">
        <v>71</v>
      </c>
      <c r="C20" s="4" t="s">
        <v>72</v>
      </c>
      <c r="D20" s="6" t="n">
        <f aca="false">COUNTA(Matriz!D17:CV17)</f>
        <v>2</v>
      </c>
      <c r="E20" s="6" t="n">
        <f aca="false">SUMPRODUCT((LEFT(Matriz!$D$1:$CV$1,3)="3.A")*(Matriz!D17:CV17&lt;&gt;""))</f>
        <v>1</v>
      </c>
      <c r="F20" s="6" t="n">
        <f aca="false">SUMPRODUCT((LEFT(Matriz!$D$1:$CV$1,3)="3.B")*(Matriz!D17:CV17&lt;&gt;""))</f>
        <v>0</v>
      </c>
      <c r="G20" s="6" t="n">
        <f aca="false">SUMPRODUCT((LEFT(Matriz!$D$1:$CV$1,3)="4.B")*(Matriz!D17:CV17&lt;&gt;""))</f>
        <v>1</v>
      </c>
      <c r="H20" s="4" t="s">
        <v>73</v>
      </c>
      <c r="I20" s="4" t="s">
        <v>17</v>
      </c>
      <c r="J20" s="4" t="s">
        <v>17</v>
      </c>
      <c r="K20" s="4" t="s">
        <v>17</v>
      </c>
    </row>
    <row r="21" customFormat="false" ht="15" hidden="false" customHeight="false" outlineLevel="0" collapsed="false">
      <c r="A21" s="4" t="s">
        <v>24</v>
      </c>
      <c r="B21" s="5" t="s">
        <v>74</v>
      </c>
      <c r="C21" s="4" t="s">
        <v>75</v>
      </c>
      <c r="D21" s="6" t="n">
        <f aca="false">COUNTA(Matriz!D18:CV18)</f>
        <v>1</v>
      </c>
      <c r="E21" s="6" t="n">
        <f aca="false">SUMPRODUCT((LEFT(Matriz!$D$1:$CV$1,3)="3.A")*(Matriz!D18:CV18&lt;&gt;""))</f>
        <v>1</v>
      </c>
      <c r="F21" s="6" t="n">
        <f aca="false">SUMPRODUCT((LEFT(Matriz!$D$1:$CV$1,3)="3.B")*(Matriz!D18:CV18&lt;&gt;""))</f>
        <v>0</v>
      </c>
      <c r="G21" s="6" t="n">
        <f aca="false">SUMPRODUCT((LEFT(Matriz!$D$1:$CV$1,3)="4.B")*(Matriz!D18:CV18&lt;&gt;""))</f>
        <v>0</v>
      </c>
      <c r="H21" s="4" t="s">
        <v>76</v>
      </c>
      <c r="I21" s="4" t="s">
        <v>17</v>
      </c>
      <c r="J21" s="4" t="s">
        <v>17</v>
      </c>
      <c r="K21" s="4" t="s">
        <v>17</v>
      </c>
    </row>
    <row r="22" customFormat="false" ht="23.85" hidden="false" customHeight="false" outlineLevel="0" collapsed="false">
      <c r="A22" s="4" t="s">
        <v>24</v>
      </c>
      <c r="B22" s="5" t="s">
        <v>77</v>
      </c>
      <c r="C22" s="4" t="s">
        <v>78</v>
      </c>
      <c r="D22" s="6" t="n">
        <f aca="false">COUNTA(Matriz!D19:CV19)</f>
        <v>1</v>
      </c>
      <c r="E22" s="6" t="n">
        <f aca="false">SUMPRODUCT((LEFT(Matriz!$D$1:$CV$1,3)="3.A")*(Matriz!D19:CV19&lt;&gt;""))</f>
        <v>1</v>
      </c>
      <c r="F22" s="6" t="n">
        <f aca="false">SUMPRODUCT((LEFT(Matriz!$D$1:$CV$1,3)="3.B")*(Matriz!D19:CV19&lt;&gt;""))</f>
        <v>0</v>
      </c>
      <c r="G22" s="6" t="n">
        <f aca="false">SUMPRODUCT((LEFT(Matriz!$D$1:$CV$1,3)="4.B")*(Matriz!D19:CV19&lt;&gt;""))</f>
        <v>0</v>
      </c>
      <c r="H22" s="4" t="s">
        <v>76</v>
      </c>
      <c r="I22" s="4" t="s">
        <v>17</v>
      </c>
      <c r="J22" s="4" t="s">
        <v>17</v>
      </c>
      <c r="K22" s="4" t="s">
        <v>17</v>
      </c>
    </row>
    <row r="23" customFormat="false" ht="23.85" hidden="false" customHeight="false" outlineLevel="0" collapsed="false">
      <c r="A23" s="4" t="s">
        <v>24</v>
      </c>
      <c r="B23" s="5" t="s">
        <v>79</v>
      </c>
      <c r="C23" s="4" t="s">
        <v>80</v>
      </c>
      <c r="D23" s="6" t="n">
        <f aca="false">COUNTA(Matriz!D20:CV20)</f>
        <v>1</v>
      </c>
      <c r="E23" s="6" t="n">
        <f aca="false">SUMPRODUCT((LEFT(Matriz!$D$1:$CV$1,3)="3.A")*(Matriz!D20:CV20&lt;&gt;""))</f>
        <v>1</v>
      </c>
      <c r="F23" s="6" t="n">
        <f aca="false">SUMPRODUCT((LEFT(Matriz!$D$1:$CV$1,3)="3.B")*(Matriz!D20:CV20&lt;&gt;""))</f>
        <v>0</v>
      </c>
      <c r="G23" s="6" t="n">
        <f aca="false">SUMPRODUCT((LEFT(Matriz!$D$1:$CV$1,3)="4.B")*(Matriz!D20:CV20&lt;&gt;""))</f>
        <v>0</v>
      </c>
      <c r="H23" s="4" t="s">
        <v>76</v>
      </c>
      <c r="I23" s="4" t="s">
        <v>17</v>
      </c>
      <c r="J23" s="4" t="s">
        <v>17</v>
      </c>
      <c r="K23" s="4" t="s">
        <v>17</v>
      </c>
    </row>
    <row r="24" customFormat="false" ht="23.85" hidden="false" customHeight="false" outlineLevel="0" collapsed="false">
      <c r="A24" s="4" t="s">
        <v>24</v>
      </c>
      <c r="B24" s="5" t="s">
        <v>81</v>
      </c>
      <c r="C24" s="4" t="s">
        <v>82</v>
      </c>
      <c r="D24" s="6" t="n">
        <f aca="false">COUNTA(Matriz!D21:CV21)</f>
        <v>11</v>
      </c>
      <c r="E24" s="6" t="n">
        <f aca="false">SUMPRODUCT((LEFT(Matriz!$D$1:$CV$1,3)="3.A")*(Matriz!D21:CV21&lt;&gt;""))</f>
        <v>6</v>
      </c>
      <c r="F24" s="6" t="n">
        <f aca="false">SUMPRODUCT((LEFT(Matriz!$D$1:$CV$1,3)="3.B")*(Matriz!D21:CV21&lt;&gt;""))</f>
        <v>3</v>
      </c>
      <c r="G24" s="6" t="n">
        <f aca="false">SUMPRODUCT((LEFT(Matriz!$D$1:$CV$1,3)="4.B")*(Matriz!D21:CV21&lt;&gt;""))</f>
        <v>2</v>
      </c>
      <c r="H24" s="4" t="s">
        <v>83</v>
      </c>
      <c r="I24" s="4" t="s">
        <v>84</v>
      </c>
      <c r="J24" s="4" t="s">
        <v>85</v>
      </c>
      <c r="K24" s="4" t="s">
        <v>86</v>
      </c>
    </row>
    <row r="25" customFormat="false" ht="23.85" hidden="false" customHeight="false" outlineLevel="0" collapsed="false">
      <c r="A25" s="4" t="s">
        <v>24</v>
      </c>
      <c r="B25" s="5" t="s">
        <v>87</v>
      </c>
      <c r="C25" s="4" t="s">
        <v>88</v>
      </c>
      <c r="D25" s="6" t="n">
        <f aca="false">COUNTA(Matriz!D22:CV22)</f>
        <v>11</v>
      </c>
      <c r="E25" s="6" t="n">
        <f aca="false">SUMPRODUCT((LEFT(Matriz!$D$1:$CV$1,3)="3.A")*(Matriz!D22:CV22&lt;&gt;""))</f>
        <v>5</v>
      </c>
      <c r="F25" s="6" t="n">
        <f aca="false">SUMPRODUCT((LEFT(Matriz!$D$1:$CV$1,3)="3.B")*(Matriz!D22:CV22&lt;&gt;""))</f>
        <v>2</v>
      </c>
      <c r="G25" s="6" t="n">
        <f aca="false">SUMPRODUCT((LEFT(Matriz!$D$1:$CV$1,3)="4.B")*(Matriz!D22:CV22&lt;&gt;""))</f>
        <v>4</v>
      </c>
      <c r="H25" s="4" t="s">
        <v>89</v>
      </c>
      <c r="I25" s="4" t="s">
        <v>90</v>
      </c>
      <c r="J25" s="4" t="s">
        <v>17</v>
      </c>
      <c r="K25" s="4" t="s">
        <v>17</v>
      </c>
    </row>
    <row r="26" customFormat="false" ht="15" hidden="false" customHeight="false" outlineLevel="0" collapsed="false">
      <c r="A26" s="4" t="s">
        <v>24</v>
      </c>
      <c r="B26" s="5" t="s">
        <v>91</v>
      </c>
      <c r="C26" s="4" t="s">
        <v>92</v>
      </c>
      <c r="D26" s="6" t="n">
        <f aca="false">COUNTA(Matriz!D23:CV23)</f>
        <v>3</v>
      </c>
      <c r="E26" s="6" t="n">
        <f aca="false">SUMPRODUCT((LEFT(Matriz!$D$1:$CV$1,3)="3.A")*(Matriz!D23:CV23&lt;&gt;""))</f>
        <v>2</v>
      </c>
      <c r="F26" s="6" t="n">
        <f aca="false">SUMPRODUCT((LEFT(Matriz!$D$1:$CV$1,3)="3.B")*(Matriz!D23:CV23&lt;&gt;""))</f>
        <v>0</v>
      </c>
      <c r="G26" s="6" t="n">
        <f aca="false">SUMPRODUCT((LEFT(Matriz!$D$1:$CV$1,3)="4.B")*(Matriz!D23:CV23&lt;&gt;""))</f>
        <v>1</v>
      </c>
      <c r="H26" s="4" t="s">
        <v>93</v>
      </c>
      <c r="I26" s="4" t="s">
        <v>84</v>
      </c>
      <c r="J26" s="4" t="s">
        <v>17</v>
      </c>
      <c r="K26" s="4" t="s">
        <v>17</v>
      </c>
    </row>
    <row r="27" customFormat="false" ht="15" hidden="false" customHeight="false" outlineLevel="0" collapsed="false">
      <c r="A27" s="4" t="s">
        <v>24</v>
      </c>
      <c r="B27" s="5" t="s">
        <v>94</v>
      </c>
      <c r="C27" s="4" t="s">
        <v>95</v>
      </c>
      <c r="D27" s="6" t="n">
        <f aca="false">COUNTA(Matriz!D24:CV24)</f>
        <v>2</v>
      </c>
      <c r="E27" s="6" t="n">
        <f aca="false">SUMPRODUCT((LEFT(Matriz!$D$1:$CV$1,3)="3.A")*(Matriz!D24:CV24&lt;&gt;""))</f>
        <v>2</v>
      </c>
      <c r="F27" s="6" t="n">
        <f aca="false">SUMPRODUCT((LEFT(Matriz!$D$1:$CV$1,3)="3.B")*(Matriz!D24:CV24&lt;&gt;""))</f>
        <v>0</v>
      </c>
      <c r="G27" s="6" t="n">
        <f aca="false">SUMPRODUCT((LEFT(Matriz!$D$1:$CV$1,3)="4.B")*(Matriz!D24:CV24&lt;&gt;""))</f>
        <v>0</v>
      </c>
      <c r="H27" s="4" t="s">
        <v>96</v>
      </c>
      <c r="I27" s="4" t="s">
        <v>84</v>
      </c>
      <c r="J27" s="4" t="s">
        <v>17</v>
      </c>
      <c r="K27" s="4" t="s">
        <v>17</v>
      </c>
    </row>
    <row r="28" customFormat="false" ht="23.85" hidden="false" customHeight="false" outlineLevel="0" collapsed="false">
      <c r="A28" s="4" t="s">
        <v>24</v>
      </c>
      <c r="B28" s="5" t="s">
        <v>97</v>
      </c>
      <c r="C28" s="4" t="s">
        <v>98</v>
      </c>
      <c r="D28" s="6" t="n">
        <f aca="false">COUNTA(Matriz!D25:CV25)</f>
        <v>10</v>
      </c>
      <c r="E28" s="6" t="n">
        <f aca="false">SUMPRODUCT((LEFT(Matriz!$D$1:$CV$1,3)="3.A")*(Matriz!D25:CV25&lt;&gt;""))</f>
        <v>10</v>
      </c>
      <c r="F28" s="6" t="n">
        <f aca="false">SUMPRODUCT((LEFT(Matriz!$D$1:$CV$1,3)="3.B")*(Matriz!D25:CV25&lt;&gt;""))</f>
        <v>0</v>
      </c>
      <c r="G28" s="6" t="n">
        <f aca="false">SUMPRODUCT((LEFT(Matriz!$D$1:$CV$1,3)="4.B")*(Matriz!D25:CV25&lt;&gt;""))</f>
        <v>0</v>
      </c>
      <c r="H28" s="4" t="s">
        <v>99</v>
      </c>
      <c r="I28" s="4" t="s">
        <v>100</v>
      </c>
      <c r="J28" s="4" t="s">
        <v>101</v>
      </c>
      <c r="K28" s="4" t="s">
        <v>42</v>
      </c>
    </row>
    <row r="29" customFormat="false" ht="15" hidden="false" customHeight="false" outlineLevel="0" collapsed="false">
      <c r="A29" s="4" t="s">
        <v>24</v>
      </c>
      <c r="B29" s="5" t="s">
        <v>102</v>
      </c>
      <c r="C29" s="4" t="s">
        <v>103</v>
      </c>
      <c r="D29" s="6" t="n">
        <f aca="false">COUNTA(Matriz!D26:CV26)</f>
        <v>7</v>
      </c>
      <c r="E29" s="6" t="n">
        <f aca="false">SUMPRODUCT((LEFT(Matriz!$D$1:$CV$1,3)="3.A")*(Matriz!D26:CV26&lt;&gt;""))</f>
        <v>4</v>
      </c>
      <c r="F29" s="6" t="n">
        <f aca="false">SUMPRODUCT((LEFT(Matriz!$D$1:$CV$1,3)="3.B")*(Matriz!D26:CV26&lt;&gt;""))</f>
        <v>3</v>
      </c>
      <c r="G29" s="6" t="n">
        <f aca="false">SUMPRODUCT((LEFT(Matriz!$D$1:$CV$1,3)="4.B")*(Matriz!D26:CV26&lt;&gt;""))</f>
        <v>0</v>
      </c>
      <c r="H29" s="4" t="s">
        <v>104</v>
      </c>
      <c r="I29" s="4" t="s">
        <v>105</v>
      </c>
      <c r="J29" s="4" t="s">
        <v>17</v>
      </c>
      <c r="K29" s="4" t="s">
        <v>17</v>
      </c>
    </row>
    <row r="30" customFormat="false" ht="15" hidden="false" customHeight="false" outlineLevel="0" collapsed="false">
      <c r="A30" s="4" t="s">
        <v>24</v>
      </c>
      <c r="B30" s="5" t="s">
        <v>106</v>
      </c>
      <c r="C30" s="4" t="s">
        <v>107</v>
      </c>
      <c r="D30" s="6" t="n">
        <f aca="false">COUNTA(Matriz!D27:CV27)</f>
        <v>3</v>
      </c>
      <c r="E30" s="6" t="n">
        <f aca="false">SUMPRODUCT((LEFT(Matriz!$D$1:$CV$1,3)="3.A")*(Matriz!D27:CV27&lt;&gt;""))</f>
        <v>1</v>
      </c>
      <c r="F30" s="6" t="n">
        <f aca="false">SUMPRODUCT((LEFT(Matriz!$D$1:$CV$1,3)="3.B")*(Matriz!D27:CV27&lt;&gt;""))</f>
        <v>2</v>
      </c>
      <c r="G30" s="6" t="n">
        <f aca="false">SUMPRODUCT((LEFT(Matriz!$D$1:$CV$1,3)="4.B")*(Matriz!D27:CV27&lt;&gt;""))</f>
        <v>0</v>
      </c>
      <c r="H30" s="4" t="s">
        <v>108</v>
      </c>
      <c r="I30" s="4" t="s">
        <v>109</v>
      </c>
      <c r="J30" s="4" t="s">
        <v>17</v>
      </c>
      <c r="K30" s="4" t="s">
        <v>17</v>
      </c>
    </row>
    <row r="31" customFormat="false" ht="15" hidden="false" customHeight="false" outlineLevel="0" collapsed="false">
      <c r="A31" s="4" t="s">
        <v>24</v>
      </c>
      <c r="B31" s="5" t="s">
        <v>110</v>
      </c>
      <c r="C31" s="4" t="s">
        <v>111</v>
      </c>
      <c r="D31" s="6" t="n">
        <f aca="false">COUNTA(Matriz!D28:CV28)</f>
        <v>4</v>
      </c>
      <c r="E31" s="6" t="n">
        <f aca="false">SUMPRODUCT((LEFT(Matriz!$D$1:$CV$1,3)="3.A")*(Matriz!D28:CV28&lt;&gt;""))</f>
        <v>3</v>
      </c>
      <c r="F31" s="6" t="n">
        <f aca="false">SUMPRODUCT((LEFT(Matriz!$D$1:$CV$1,3)="3.B")*(Matriz!D28:CV28&lt;&gt;""))</f>
        <v>1</v>
      </c>
      <c r="G31" s="6" t="n">
        <f aca="false">SUMPRODUCT((LEFT(Matriz!$D$1:$CV$1,3)="4.B")*(Matriz!D28:CV28&lt;&gt;""))</f>
        <v>0</v>
      </c>
      <c r="H31" s="4" t="s">
        <v>112</v>
      </c>
      <c r="I31" s="4" t="s">
        <v>113</v>
      </c>
      <c r="J31" s="4" t="s">
        <v>17</v>
      </c>
      <c r="K31" s="4" t="s">
        <v>17</v>
      </c>
    </row>
    <row r="32" customFormat="false" ht="15" hidden="false" customHeight="false" outlineLevel="0" collapsed="false">
      <c r="A32" s="4" t="s">
        <v>24</v>
      </c>
      <c r="B32" s="5" t="s">
        <v>114</v>
      </c>
      <c r="C32" s="4" t="s">
        <v>115</v>
      </c>
      <c r="D32" s="6" t="n">
        <f aca="false">COUNTA(Matriz!D29:CV29)</f>
        <v>1</v>
      </c>
      <c r="E32" s="6" t="n">
        <f aca="false">SUMPRODUCT((LEFT(Matriz!$D$1:$CV$1,3)="3.A")*(Matriz!D29:CV29&lt;&gt;""))</f>
        <v>1</v>
      </c>
      <c r="F32" s="6" t="n">
        <f aca="false">SUMPRODUCT((LEFT(Matriz!$D$1:$CV$1,3)="3.B")*(Matriz!D29:CV29&lt;&gt;""))</f>
        <v>0</v>
      </c>
      <c r="G32" s="6" t="n">
        <f aca="false">SUMPRODUCT((LEFT(Matriz!$D$1:$CV$1,3)="4.B")*(Matriz!D29:CV29&lt;&gt;""))</f>
        <v>0</v>
      </c>
      <c r="H32" s="4" t="s">
        <v>113</v>
      </c>
      <c r="I32" s="4" t="s">
        <v>113</v>
      </c>
      <c r="J32" s="4" t="s">
        <v>17</v>
      </c>
      <c r="K32" s="4" t="s">
        <v>17</v>
      </c>
    </row>
    <row r="33" customFormat="false" ht="23.85" hidden="false" customHeight="false" outlineLevel="0" collapsed="false">
      <c r="A33" s="4" t="s">
        <v>116</v>
      </c>
      <c r="B33" s="5" t="s">
        <v>117</v>
      </c>
      <c r="C33" s="4" t="s">
        <v>118</v>
      </c>
      <c r="D33" s="6" t="n">
        <f aca="false">COUNTA(Matriz!D30:CV30)</f>
        <v>1</v>
      </c>
      <c r="E33" s="6" t="n">
        <f aca="false">SUMPRODUCT((LEFT(Matriz!$D$1:$CV$1,3)="3.A")*(Matriz!D30:CV30&lt;&gt;""))</f>
        <v>1</v>
      </c>
      <c r="F33" s="6" t="n">
        <f aca="false">SUMPRODUCT((LEFT(Matriz!$D$1:$CV$1,3)="3.B")*(Matriz!D30:CV30&lt;&gt;""))</f>
        <v>0</v>
      </c>
      <c r="G33" s="6" t="n">
        <f aca="false">SUMPRODUCT((LEFT(Matriz!$D$1:$CV$1,3)="4.B")*(Matriz!D30:CV30&lt;&gt;""))</f>
        <v>0</v>
      </c>
      <c r="H33" s="4" t="s">
        <v>48</v>
      </c>
      <c r="I33" s="4" t="s">
        <v>17</v>
      </c>
      <c r="J33" s="4" t="s">
        <v>17</v>
      </c>
      <c r="K33" s="4" t="s">
        <v>17</v>
      </c>
    </row>
    <row r="34" customFormat="false" ht="15" hidden="false" customHeight="false" outlineLevel="0" collapsed="false">
      <c r="A34" s="4" t="s">
        <v>116</v>
      </c>
      <c r="B34" s="5" t="s">
        <v>119</v>
      </c>
      <c r="C34" s="4" t="s">
        <v>120</v>
      </c>
      <c r="D34" s="6" t="n">
        <f aca="false">COUNTA(Matriz!D31:CV31)</f>
        <v>2</v>
      </c>
      <c r="E34" s="6" t="n">
        <f aca="false">SUMPRODUCT((LEFT(Matriz!$D$1:$CV$1,3)="3.A")*(Matriz!D31:CV31&lt;&gt;""))</f>
        <v>2</v>
      </c>
      <c r="F34" s="6" t="n">
        <f aca="false">SUMPRODUCT((LEFT(Matriz!$D$1:$CV$1,3)="3.B")*(Matriz!D31:CV31&lt;&gt;""))</f>
        <v>0</v>
      </c>
      <c r="G34" s="6" t="n">
        <f aca="false">SUMPRODUCT((LEFT(Matriz!$D$1:$CV$1,3)="4.B")*(Matriz!D31:CV31&lt;&gt;""))</f>
        <v>0</v>
      </c>
      <c r="H34" s="4" t="s">
        <v>121</v>
      </c>
      <c r="I34" s="4" t="s">
        <v>48</v>
      </c>
      <c r="J34" s="4" t="s">
        <v>17</v>
      </c>
      <c r="K34" s="4" t="s">
        <v>17</v>
      </c>
    </row>
    <row r="35" customFormat="false" ht="15" hidden="false" customHeight="false" outlineLevel="0" collapsed="false">
      <c r="A35" s="4" t="s">
        <v>116</v>
      </c>
      <c r="B35" s="5" t="s">
        <v>122</v>
      </c>
      <c r="C35" s="4" t="s">
        <v>123</v>
      </c>
      <c r="D35" s="6" t="n">
        <f aca="false">COUNTA(Matriz!D32:CV32)</f>
        <v>4</v>
      </c>
      <c r="E35" s="6" t="n">
        <f aca="false">SUMPRODUCT((LEFT(Matriz!$D$1:$CV$1,3)="3.A")*(Matriz!D32:CV32&lt;&gt;""))</f>
        <v>3</v>
      </c>
      <c r="F35" s="6" t="n">
        <f aca="false">SUMPRODUCT((LEFT(Matriz!$D$1:$CV$1,3)="3.B")*(Matriz!D32:CV32&lt;&gt;""))</f>
        <v>1</v>
      </c>
      <c r="G35" s="6" t="n">
        <f aca="false">SUMPRODUCT((LEFT(Matriz!$D$1:$CV$1,3)="4.B")*(Matriz!D32:CV32&lt;&gt;""))</f>
        <v>0</v>
      </c>
      <c r="H35" s="4" t="s">
        <v>124</v>
      </c>
      <c r="I35" s="4" t="s">
        <v>48</v>
      </c>
      <c r="J35" s="4" t="s">
        <v>17</v>
      </c>
      <c r="K35" s="4" t="s">
        <v>17</v>
      </c>
    </row>
    <row r="36" customFormat="false" ht="23.85" hidden="false" customHeight="false" outlineLevel="0" collapsed="false">
      <c r="A36" s="4" t="s">
        <v>125</v>
      </c>
      <c r="B36" s="5" t="s">
        <v>126</v>
      </c>
      <c r="C36" s="4" t="s">
        <v>127</v>
      </c>
      <c r="D36" s="6" t="n">
        <f aca="false">COUNTA(Matriz!D33:CV33)</f>
        <v>10</v>
      </c>
      <c r="E36" s="6" t="n">
        <f aca="false">SUMPRODUCT((LEFT(Matriz!$D$1:$CV$1,3)="3.A")*(Matriz!D33:CV33&lt;&gt;""))</f>
        <v>6</v>
      </c>
      <c r="F36" s="6" t="n">
        <f aca="false">SUMPRODUCT((LEFT(Matriz!$D$1:$CV$1,3)="3.B")*(Matriz!D33:CV33&lt;&gt;""))</f>
        <v>0</v>
      </c>
      <c r="G36" s="6" t="n">
        <f aca="false">SUMPRODUCT((LEFT(Matriz!$D$1:$CV$1,3)="4.B")*(Matriz!D33:CV33&lt;&gt;""))</f>
        <v>4</v>
      </c>
      <c r="H36" s="4" t="s">
        <v>128</v>
      </c>
      <c r="I36" s="4" t="s">
        <v>129</v>
      </c>
      <c r="J36" s="4" t="s">
        <v>130</v>
      </c>
      <c r="K36" s="4" t="s">
        <v>131</v>
      </c>
    </row>
    <row r="37" customFormat="false" ht="23.85" hidden="false" customHeight="false" outlineLevel="0" collapsed="false">
      <c r="A37" s="4" t="s">
        <v>125</v>
      </c>
      <c r="B37" s="5" t="s">
        <v>132</v>
      </c>
      <c r="C37" s="4" t="s">
        <v>133</v>
      </c>
      <c r="D37" s="6" t="n">
        <f aca="false">COUNTA(Matriz!D34:CV34)</f>
        <v>10</v>
      </c>
      <c r="E37" s="6" t="n">
        <f aca="false">SUMPRODUCT((LEFT(Matriz!$D$1:$CV$1,3)="3.A")*(Matriz!D34:CV34&lt;&gt;""))</f>
        <v>2</v>
      </c>
      <c r="F37" s="6" t="n">
        <f aca="false">SUMPRODUCT((LEFT(Matriz!$D$1:$CV$1,3)="3.B")*(Matriz!D34:CV34&lt;&gt;""))</f>
        <v>1</v>
      </c>
      <c r="G37" s="6" t="n">
        <f aca="false">SUMPRODUCT((LEFT(Matriz!$D$1:$CV$1,3)="4.B")*(Matriz!D34:CV34&lt;&gt;""))</f>
        <v>7</v>
      </c>
      <c r="H37" s="4" t="s">
        <v>134</v>
      </c>
      <c r="I37" s="4" t="s">
        <v>135</v>
      </c>
      <c r="J37" s="4" t="s">
        <v>136</v>
      </c>
      <c r="K37" s="4" t="s">
        <v>137</v>
      </c>
    </row>
    <row r="38" customFormat="false" ht="23.85" hidden="false" customHeight="false" outlineLevel="0" collapsed="false">
      <c r="A38" s="4" t="s">
        <v>125</v>
      </c>
      <c r="B38" s="5" t="s">
        <v>138</v>
      </c>
      <c r="C38" s="4" t="s">
        <v>139</v>
      </c>
      <c r="D38" s="6" t="n">
        <f aca="false">COUNTA(Matriz!D35:CV35)</f>
        <v>4</v>
      </c>
      <c r="E38" s="6" t="n">
        <f aca="false">SUMPRODUCT((LEFT(Matriz!$D$1:$CV$1,3)="3.A")*(Matriz!D35:CV35&lt;&gt;""))</f>
        <v>0</v>
      </c>
      <c r="F38" s="6" t="n">
        <f aca="false">SUMPRODUCT((LEFT(Matriz!$D$1:$CV$1,3)="3.B")*(Matriz!D35:CV35&lt;&gt;""))</f>
        <v>0</v>
      </c>
      <c r="G38" s="6" t="n">
        <f aca="false">SUMPRODUCT((LEFT(Matriz!$D$1:$CV$1,3)="4.B")*(Matriz!D35:CV35&lt;&gt;""))</f>
        <v>4</v>
      </c>
      <c r="H38" s="4" t="s">
        <v>140</v>
      </c>
      <c r="I38" s="4" t="s">
        <v>141</v>
      </c>
      <c r="J38" s="4" t="s">
        <v>17</v>
      </c>
      <c r="K38" s="4" t="s">
        <v>17</v>
      </c>
    </row>
    <row r="39" customFormat="false" ht="15" hidden="false" customHeight="false" outlineLevel="0" collapsed="false">
      <c r="A39" s="4" t="s">
        <v>125</v>
      </c>
      <c r="B39" s="5" t="s">
        <v>142</v>
      </c>
      <c r="C39" s="4" t="s">
        <v>143</v>
      </c>
      <c r="D39" s="6" t="n">
        <f aca="false">COUNTA(Matriz!D36:CV36)</f>
        <v>2</v>
      </c>
      <c r="E39" s="6" t="n">
        <f aca="false">SUMPRODUCT((LEFT(Matriz!$D$1:$CV$1,3)="3.A")*(Matriz!D36:CV36&lt;&gt;""))</f>
        <v>0</v>
      </c>
      <c r="F39" s="6" t="n">
        <f aca="false">SUMPRODUCT((LEFT(Matriz!$D$1:$CV$1,3)="3.B")*(Matriz!D36:CV36&lt;&gt;""))</f>
        <v>0</v>
      </c>
      <c r="G39" s="6" t="n">
        <f aca="false">SUMPRODUCT((LEFT(Matriz!$D$1:$CV$1,3)="4.B")*(Matriz!D36:CV36&lt;&gt;""))</f>
        <v>2</v>
      </c>
      <c r="H39" s="4" t="s">
        <v>144</v>
      </c>
      <c r="I39" s="4" t="s">
        <v>145</v>
      </c>
      <c r="J39" s="4" t="s">
        <v>17</v>
      </c>
      <c r="K39" s="4" t="s">
        <v>17</v>
      </c>
    </row>
    <row r="40" customFormat="false" ht="15" hidden="false" customHeight="false" outlineLevel="0" collapsed="false">
      <c r="A40" s="4" t="s">
        <v>125</v>
      </c>
      <c r="B40" s="5" t="s">
        <v>146</v>
      </c>
      <c r="C40" s="4" t="s">
        <v>147</v>
      </c>
      <c r="D40" s="6" t="n">
        <f aca="false">COUNTA(Matriz!D37:CV37)</f>
        <v>1</v>
      </c>
      <c r="E40" s="6" t="n">
        <f aca="false">SUMPRODUCT((LEFT(Matriz!$D$1:$CV$1,3)="3.A")*(Matriz!D37:CV37&lt;&gt;""))</f>
        <v>0</v>
      </c>
      <c r="F40" s="6" t="n">
        <f aca="false">SUMPRODUCT((LEFT(Matriz!$D$1:$CV$1,3)="3.B")*(Matriz!D37:CV37&lt;&gt;""))</f>
        <v>0</v>
      </c>
      <c r="G40" s="6" t="n">
        <f aca="false">SUMPRODUCT((LEFT(Matriz!$D$1:$CV$1,3)="4.B")*(Matriz!D37:CV37&lt;&gt;""))</f>
        <v>1</v>
      </c>
      <c r="H40" s="4" t="s">
        <v>148</v>
      </c>
      <c r="I40" s="4" t="s">
        <v>17</v>
      </c>
      <c r="J40" s="4" t="s">
        <v>17</v>
      </c>
      <c r="K40" s="4" t="s">
        <v>17</v>
      </c>
    </row>
    <row r="41" customFormat="false" ht="15" hidden="false" customHeight="false" outlineLevel="0" collapsed="false">
      <c r="A41" s="4" t="s">
        <v>125</v>
      </c>
      <c r="B41" s="5" t="s">
        <v>149</v>
      </c>
      <c r="C41" s="4" t="s">
        <v>150</v>
      </c>
      <c r="D41" s="6" t="n">
        <f aca="false">COUNTA(Matriz!D38:CV38)</f>
        <v>3</v>
      </c>
      <c r="E41" s="6" t="n">
        <f aca="false">SUMPRODUCT((LEFT(Matriz!$D$1:$CV$1,3)="3.A")*(Matriz!D38:CV38&lt;&gt;""))</f>
        <v>2</v>
      </c>
      <c r="F41" s="6" t="n">
        <f aca="false">SUMPRODUCT((LEFT(Matriz!$D$1:$CV$1,3)="3.B")*(Matriz!D38:CV38&lt;&gt;""))</f>
        <v>0</v>
      </c>
      <c r="G41" s="6" t="n">
        <f aca="false">SUMPRODUCT((LEFT(Matriz!$D$1:$CV$1,3)="4.B")*(Matriz!D38:CV38&lt;&gt;""))</f>
        <v>1</v>
      </c>
      <c r="H41" s="4" t="s">
        <v>151</v>
      </c>
      <c r="I41" s="4" t="s">
        <v>17</v>
      </c>
      <c r="J41" s="4" t="s">
        <v>152</v>
      </c>
      <c r="K41" s="4" t="s">
        <v>17</v>
      </c>
    </row>
    <row r="42" customFormat="false" ht="15" hidden="false" customHeight="false" outlineLevel="0" collapsed="false">
      <c r="A42" s="4" t="s">
        <v>125</v>
      </c>
      <c r="B42" s="5" t="s">
        <v>153</v>
      </c>
      <c r="C42" s="4" t="s">
        <v>154</v>
      </c>
      <c r="D42" s="6" t="n">
        <f aca="false">COUNTA(Matriz!D39:CV39)</f>
        <v>1</v>
      </c>
      <c r="E42" s="6" t="n">
        <f aca="false">SUMPRODUCT((LEFT(Matriz!$D$1:$CV$1,3)="3.A")*(Matriz!D39:CV39&lt;&gt;""))</f>
        <v>0</v>
      </c>
      <c r="F42" s="6" t="n">
        <f aca="false">SUMPRODUCT((LEFT(Matriz!$D$1:$CV$1,3)="3.B")*(Matriz!D39:CV39&lt;&gt;""))</f>
        <v>0</v>
      </c>
      <c r="G42" s="6" t="n">
        <f aca="false">SUMPRODUCT((LEFT(Matriz!$D$1:$CV$1,3)="4.B")*(Matriz!D39:CV39&lt;&gt;""))</f>
        <v>1</v>
      </c>
      <c r="H42" s="4" t="s">
        <v>155</v>
      </c>
      <c r="I42" s="4" t="s">
        <v>155</v>
      </c>
      <c r="J42" s="4" t="s">
        <v>17</v>
      </c>
      <c r="K42" s="4" t="s">
        <v>17</v>
      </c>
    </row>
    <row r="43" customFormat="false" ht="15" hidden="false" customHeight="false" outlineLevel="0" collapsed="false">
      <c r="A43" s="4" t="s">
        <v>125</v>
      </c>
      <c r="B43" s="5" t="s">
        <v>156</v>
      </c>
      <c r="C43" s="4" t="s">
        <v>157</v>
      </c>
      <c r="D43" s="6" t="n">
        <f aca="false">COUNTA(Matriz!D40:CV40)</f>
        <v>6</v>
      </c>
      <c r="E43" s="6" t="n">
        <f aca="false">SUMPRODUCT((LEFT(Matriz!$D$1:$CV$1,3)="3.A")*(Matriz!D40:CV40&lt;&gt;""))</f>
        <v>1</v>
      </c>
      <c r="F43" s="6" t="n">
        <f aca="false">SUMPRODUCT((LEFT(Matriz!$D$1:$CV$1,3)="3.B")*(Matriz!D40:CV40&lt;&gt;""))</f>
        <v>0</v>
      </c>
      <c r="G43" s="6" t="n">
        <f aca="false">SUMPRODUCT((LEFT(Matriz!$D$1:$CV$1,3)="4.B")*(Matriz!D40:CV40&lt;&gt;""))</f>
        <v>5</v>
      </c>
      <c r="H43" s="4" t="s">
        <v>158</v>
      </c>
      <c r="I43" s="4" t="s">
        <v>159</v>
      </c>
      <c r="J43" s="4" t="s">
        <v>17</v>
      </c>
      <c r="K43" s="4" t="s">
        <v>17</v>
      </c>
    </row>
    <row r="44" customFormat="false" ht="15" hidden="false" customHeight="false" outlineLevel="0" collapsed="false">
      <c r="A44" s="4" t="s">
        <v>125</v>
      </c>
      <c r="B44" s="5" t="s">
        <v>160</v>
      </c>
      <c r="C44" s="4" t="s">
        <v>161</v>
      </c>
      <c r="D44" s="6" t="n">
        <f aca="false">COUNTA(Matriz!D41:CV41)</f>
        <v>6</v>
      </c>
      <c r="E44" s="6" t="n">
        <f aca="false">SUMPRODUCT((LEFT(Matriz!$D$1:$CV$1,3)="3.A")*(Matriz!D41:CV41&lt;&gt;""))</f>
        <v>0</v>
      </c>
      <c r="F44" s="6" t="n">
        <f aca="false">SUMPRODUCT((LEFT(Matriz!$D$1:$CV$1,3)="3.B")*(Matriz!D41:CV41&lt;&gt;""))</f>
        <v>0</v>
      </c>
      <c r="G44" s="6" t="n">
        <f aca="false">SUMPRODUCT((LEFT(Matriz!$D$1:$CV$1,3)="4.B")*(Matriz!D41:CV41&lt;&gt;""))</f>
        <v>6</v>
      </c>
      <c r="H44" s="4" t="s">
        <v>162</v>
      </c>
      <c r="I44" s="4" t="s">
        <v>159</v>
      </c>
      <c r="J44" s="4" t="s">
        <v>17</v>
      </c>
      <c r="K44" s="4" t="s">
        <v>17</v>
      </c>
    </row>
    <row r="45" customFormat="false" ht="15" hidden="false" customHeight="false" outlineLevel="0" collapsed="false">
      <c r="A45" s="4" t="s">
        <v>125</v>
      </c>
      <c r="B45" s="5" t="s">
        <v>163</v>
      </c>
      <c r="C45" s="4" t="s">
        <v>164</v>
      </c>
      <c r="D45" s="6" t="n">
        <f aca="false">COUNTA(Matriz!D42:CV42)</f>
        <v>2</v>
      </c>
      <c r="E45" s="6" t="n">
        <f aca="false">SUMPRODUCT((LEFT(Matriz!$D$1:$CV$1,3)="3.A")*(Matriz!D42:CV42&lt;&gt;""))</f>
        <v>1</v>
      </c>
      <c r="F45" s="6" t="n">
        <f aca="false">SUMPRODUCT((LEFT(Matriz!$D$1:$CV$1,3)="3.B")*(Matriz!D42:CV42&lt;&gt;""))</f>
        <v>0</v>
      </c>
      <c r="G45" s="6" t="n">
        <f aca="false">SUMPRODUCT((LEFT(Matriz!$D$1:$CV$1,3)="4.B")*(Matriz!D42:CV42&lt;&gt;""))</f>
        <v>1</v>
      </c>
      <c r="H45" s="4" t="s">
        <v>165</v>
      </c>
      <c r="I45" s="4" t="s">
        <v>166</v>
      </c>
      <c r="J45" s="4" t="s">
        <v>17</v>
      </c>
      <c r="K45" s="4" t="s">
        <v>17</v>
      </c>
    </row>
    <row r="46" customFormat="false" ht="15" hidden="false" customHeight="false" outlineLevel="0" collapsed="false">
      <c r="A46" s="4" t="s">
        <v>125</v>
      </c>
      <c r="B46" s="5" t="s">
        <v>167</v>
      </c>
      <c r="C46" s="4" t="s">
        <v>168</v>
      </c>
      <c r="D46" s="6" t="n">
        <f aca="false">COUNTA(Matriz!D43:CV43)</f>
        <v>5</v>
      </c>
      <c r="E46" s="6" t="n">
        <f aca="false">SUMPRODUCT((LEFT(Matriz!$D$1:$CV$1,3)="3.A")*(Matriz!D43:CV43&lt;&gt;""))</f>
        <v>1</v>
      </c>
      <c r="F46" s="6" t="n">
        <f aca="false">SUMPRODUCT((LEFT(Matriz!$D$1:$CV$1,3)="3.B")*(Matriz!D43:CV43&lt;&gt;""))</f>
        <v>0</v>
      </c>
      <c r="G46" s="6" t="n">
        <f aca="false">SUMPRODUCT((LEFT(Matriz!$D$1:$CV$1,3)="4.B")*(Matriz!D43:CV43&lt;&gt;""))</f>
        <v>4</v>
      </c>
      <c r="H46" s="4" t="s">
        <v>169</v>
      </c>
      <c r="I46" s="4" t="s">
        <v>170</v>
      </c>
      <c r="J46" s="4" t="s">
        <v>171</v>
      </c>
      <c r="K46" s="4" t="s">
        <v>17</v>
      </c>
    </row>
    <row r="47" customFormat="false" ht="15" hidden="false" customHeight="false" outlineLevel="0" collapsed="false">
      <c r="A47" s="4" t="s">
        <v>125</v>
      </c>
      <c r="B47" s="5" t="s">
        <v>172</v>
      </c>
      <c r="C47" s="4" t="s">
        <v>173</v>
      </c>
      <c r="D47" s="6" t="n">
        <f aca="false">COUNTA(Matriz!D44:CV44)</f>
        <v>4</v>
      </c>
      <c r="E47" s="6" t="n">
        <f aca="false">SUMPRODUCT((LEFT(Matriz!$D$1:$CV$1,3)="3.A")*(Matriz!D44:CV44&lt;&gt;""))</f>
        <v>0</v>
      </c>
      <c r="F47" s="6" t="n">
        <f aca="false">SUMPRODUCT((LEFT(Matriz!$D$1:$CV$1,3)="3.B")*(Matriz!D44:CV44&lt;&gt;""))</f>
        <v>0</v>
      </c>
      <c r="G47" s="6" t="n">
        <f aca="false">SUMPRODUCT((LEFT(Matriz!$D$1:$CV$1,3)="4.B")*(Matriz!D44:CV44&lt;&gt;""))</f>
        <v>4</v>
      </c>
      <c r="H47" s="4" t="s">
        <v>174</v>
      </c>
      <c r="I47" s="4" t="s">
        <v>175</v>
      </c>
      <c r="J47" s="4" t="s">
        <v>17</v>
      </c>
      <c r="K47" s="4" t="s">
        <v>17</v>
      </c>
    </row>
    <row r="48" customFormat="false" ht="15" hidden="false" customHeight="false" outlineLevel="0" collapsed="false">
      <c r="A48" s="4" t="s">
        <v>125</v>
      </c>
      <c r="B48" s="5" t="s">
        <v>176</v>
      </c>
      <c r="C48" s="4" t="s">
        <v>177</v>
      </c>
      <c r="D48" s="6" t="n">
        <f aca="false">COUNTA(Matriz!D45:CV45)</f>
        <v>6</v>
      </c>
      <c r="E48" s="6" t="n">
        <f aca="false">SUMPRODUCT((LEFT(Matriz!$D$1:$CV$1,3)="3.A")*(Matriz!D45:CV45&lt;&gt;""))</f>
        <v>2</v>
      </c>
      <c r="F48" s="6" t="n">
        <f aca="false">SUMPRODUCT((LEFT(Matriz!$D$1:$CV$1,3)="3.B")*(Matriz!D45:CV45&lt;&gt;""))</f>
        <v>1</v>
      </c>
      <c r="G48" s="6" t="n">
        <f aca="false">SUMPRODUCT((LEFT(Matriz!$D$1:$CV$1,3)="4.B")*(Matriz!D45:CV45&lt;&gt;""))</f>
        <v>3</v>
      </c>
      <c r="H48" s="4" t="s">
        <v>178</v>
      </c>
      <c r="I48" s="4" t="s">
        <v>179</v>
      </c>
      <c r="J48" s="4" t="s">
        <v>17</v>
      </c>
      <c r="K48" s="4" t="s">
        <v>17</v>
      </c>
    </row>
    <row r="49" customFormat="false" ht="15" hidden="false" customHeight="false" outlineLevel="0" collapsed="false">
      <c r="A49" s="4" t="s">
        <v>125</v>
      </c>
      <c r="B49" s="5" t="s">
        <v>180</v>
      </c>
      <c r="C49" s="4" t="s">
        <v>181</v>
      </c>
      <c r="D49" s="6" t="n">
        <f aca="false">COUNTA(Matriz!D46:CV46)</f>
        <v>4</v>
      </c>
      <c r="E49" s="6" t="n">
        <f aca="false">SUMPRODUCT((LEFT(Matriz!$D$1:$CV$1,3)="3.A")*(Matriz!D46:CV46&lt;&gt;""))</f>
        <v>2</v>
      </c>
      <c r="F49" s="6" t="n">
        <f aca="false">SUMPRODUCT((LEFT(Matriz!$D$1:$CV$1,3)="3.B")*(Matriz!D46:CV46&lt;&gt;""))</f>
        <v>0</v>
      </c>
      <c r="G49" s="6" t="n">
        <f aca="false">SUMPRODUCT((LEFT(Matriz!$D$1:$CV$1,3)="4.B")*(Matriz!D46:CV46&lt;&gt;""))</f>
        <v>2</v>
      </c>
      <c r="H49" s="4" t="s">
        <v>182</v>
      </c>
      <c r="I49" s="4" t="s">
        <v>183</v>
      </c>
      <c r="J49" s="4" t="s">
        <v>184</v>
      </c>
      <c r="K49" s="4" t="s">
        <v>185</v>
      </c>
    </row>
    <row r="50" customFormat="false" ht="15" hidden="false" customHeight="false" outlineLevel="0" collapsed="false">
      <c r="A50" s="4" t="s">
        <v>125</v>
      </c>
      <c r="B50" s="5" t="s">
        <v>186</v>
      </c>
      <c r="C50" s="4" t="s">
        <v>187</v>
      </c>
      <c r="D50" s="6" t="n">
        <f aca="false">COUNTA(Matriz!D47:CV47)</f>
        <v>4</v>
      </c>
      <c r="E50" s="6" t="n">
        <f aca="false">SUMPRODUCT((LEFT(Matriz!$D$1:$CV$1,3)="3.A")*(Matriz!D47:CV47&lt;&gt;""))</f>
        <v>2</v>
      </c>
      <c r="F50" s="6" t="n">
        <f aca="false">SUMPRODUCT((LEFT(Matriz!$D$1:$CV$1,3)="3.B")*(Matriz!D47:CV47&lt;&gt;""))</f>
        <v>0</v>
      </c>
      <c r="G50" s="6" t="n">
        <f aca="false">SUMPRODUCT((LEFT(Matriz!$D$1:$CV$1,3)="4.B")*(Matriz!D47:CV47&lt;&gt;""))</f>
        <v>2</v>
      </c>
      <c r="H50" s="4" t="s">
        <v>188</v>
      </c>
      <c r="I50" s="4" t="s">
        <v>17</v>
      </c>
      <c r="J50" s="4" t="s">
        <v>17</v>
      </c>
      <c r="K50" s="4" t="s">
        <v>17</v>
      </c>
    </row>
    <row r="51" customFormat="false" ht="23.85" hidden="false" customHeight="false" outlineLevel="0" collapsed="false">
      <c r="A51" s="4" t="s">
        <v>189</v>
      </c>
      <c r="B51" s="5" t="s">
        <v>190</v>
      </c>
      <c r="C51" s="4" t="s">
        <v>191</v>
      </c>
      <c r="D51" s="6" t="n">
        <f aca="false">COUNTA(Matriz!D48:CV48)</f>
        <v>2</v>
      </c>
      <c r="E51" s="6" t="n">
        <f aca="false">SUMPRODUCT((LEFT(Matriz!$D$1:$CV$1,3)="3.A")*(Matriz!D48:CV48&lt;&gt;""))</f>
        <v>1</v>
      </c>
      <c r="F51" s="6" t="n">
        <f aca="false">SUMPRODUCT((LEFT(Matriz!$D$1:$CV$1,3)="3.B")*(Matriz!D48:CV48&lt;&gt;""))</f>
        <v>1</v>
      </c>
      <c r="G51" s="6" t="n">
        <f aca="false">SUMPRODUCT((LEFT(Matriz!$D$1:$CV$1,3)="4.B")*(Matriz!D48:CV48&lt;&gt;""))</f>
        <v>0</v>
      </c>
      <c r="H51" s="4" t="s">
        <v>192</v>
      </c>
      <c r="I51" s="4" t="s">
        <v>192</v>
      </c>
      <c r="J51" s="4" t="s">
        <v>17</v>
      </c>
      <c r="K51" s="4" t="s">
        <v>17</v>
      </c>
    </row>
    <row r="52" customFormat="false" ht="23.85" hidden="false" customHeight="false" outlineLevel="0" collapsed="false">
      <c r="A52" s="4" t="s">
        <v>189</v>
      </c>
      <c r="B52" s="5" t="s">
        <v>193</v>
      </c>
      <c r="C52" s="4" t="s">
        <v>194</v>
      </c>
      <c r="D52" s="6" t="n">
        <f aca="false">COUNTA(Matriz!D49:CV49)</f>
        <v>12</v>
      </c>
      <c r="E52" s="6" t="n">
        <f aca="false">SUMPRODUCT((LEFT(Matriz!$D$1:$CV$1,3)="3.A")*(Matriz!D49:CV49&lt;&gt;""))</f>
        <v>10</v>
      </c>
      <c r="F52" s="6" t="n">
        <f aca="false">SUMPRODUCT((LEFT(Matriz!$D$1:$CV$1,3)="3.B")*(Matriz!D49:CV49&lt;&gt;""))</f>
        <v>2</v>
      </c>
      <c r="G52" s="6" t="n">
        <f aca="false">SUMPRODUCT((LEFT(Matriz!$D$1:$CV$1,3)="4.B")*(Matriz!D49:CV49&lt;&gt;""))</f>
        <v>0</v>
      </c>
      <c r="H52" s="4" t="s">
        <v>195</v>
      </c>
      <c r="I52" s="4" t="s">
        <v>196</v>
      </c>
      <c r="J52" s="4" t="s">
        <v>17</v>
      </c>
      <c r="K52" s="4" t="s">
        <v>17</v>
      </c>
    </row>
    <row r="53" customFormat="false" ht="15" hidden="false" customHeight="false" outlineLevel="0" collapsed="false">
      <c r="A53" s="4" t="s">
        <v>189</v>
      </c>
      <c r="B53" s="5" t="s">
        <v>197</v>
      </c>
      <c r="C53" s="4" t="s">
        <v>198</v>
      </c>
      <c r="D53" s="6" t="n">
        <f aca="false">COUNTA(Matriz!D50:CV50)</f>
        <v>2</v>
      </c>
      <c r="E53" s="6" t="n">
        <f aca="false">SUMPRODUCT((LEFT(Matriz!$D$1:$CV$1,3)="3.A")*(Matriz!D50:CV50&lt;&gt;""))</f>
        <v>2</v>
      </c>
      <c r="F53" s="6" t="n">
        <f aca="false">SUMPRODUCT((LEFT(Matriz!$D$1:$CV$1,3)="3.B")*(Matriz!D50:CV50&lt;&gt;""))</f>
        <v>0</v>
      </c>
      <c r="G53" s="6" t="n">
        <f aca="false">SUMPRODUCT((LEFT(Matriz!$D$1:$CV$1,3)="4.B")*(Matriz!D50:CV50&lt;&gt;""))</f>
        <v>0</v>
      </c>
      <c r="H53" s="4" t="s">
        <v>199</v>
      </c>
      <c r="I53" s="4" t="s">
        <v>17</v>
      </c>
      <c r="J53" s="4" t="s">
        <v>17</v>
      </c>
      <c r="K53" s="4" t="s">
        <v>17</v>
      </c>
    </row>
    <row r="54" customFormat="false" ht="23.85" hidden="false" customHeight="false" outlineLevel="0" collapsed="false">
      <c r="A54" s="4" t="s">
        <v>189</v>
      </c>
      <c r="B54" s="5" t="s">
        <v>200</v>
      </c>
      <c r="C54" s="4" t="s">
        <v>201</v>
      </c>
      <c r="D54" s="6" t="n">
        <f aca="false">COUNTA(Matriz!D51:CV51)</f>
        <v>2</v>
      </c>
      <c r="E54" s="6" t="n">
        <f aca="false">SUMPRODUCT((LEFT(Matriz!$D$1:$CV$1,3)="3.A")*(Matriz!D51:CV51&lt;&gt;""))</f>
        <v>2</v>
      </c>
      <c r="F54" s="6" t="n">
        <f aca="false">SUMPRODUCT((LEFT(Matriz!$D$1:$CV$1,3)="3.B")*(Matriz!D51:CV51&lt;&gt;""))</f>
        <v>0</v>
      </c>
      <c r="G54" s="6" t="n">
        <f aca="false">SUMPRODUCT((LEFT(Matriz!$D$1:$CV$1,3)="4.B")*(Matriz!D51:CV51&lt;&gt;""))</f>
        <v>0</v>
      </c>
      <c r="H54" s="4" t="s">
        <v>202</v>
      </c>
      <c r="I54" s="4" t="s">
        <v>17</v>
      </c>
      <c r="J54" s="4" t="s">
        <v>17</v>
      </c>
      <c r="K54" s="4" t="s">
        <v>17</v>
      </c>
    </row>
    <row r="55" customFormat="false" ht="23.85" hidden="false" customHeight="false" outlineLevel="0" collapsed="false">
      <c r="A55" s="4" t="s">
        <v>189</v>
      </c>
      <c r="B55" s="5" t="s">
        <v>203</v>
      </c>
      <c r="C55" s="4" t="s">
        <v>204</v>
      </c>
      <c r="D55" s="6" t="n">
        <f aca="false">COUNTA(Matriz!D52:CV52)</f>
        <v>8</v>
      </c>
      <c r="E55" s="6" t="n">
        <f aca="false">SUMPRODUCT((LEFT(Matriz!$D$1:$CV$1,3)="3.A")*(Matriz!D52:CV52&lt;&gt;""))</f>
        <v>8</v>
      </c>
      <c r="F55" s="6" t="n">
        <f aca="false">SUMPRODUCT((LEFT(Matriz!$D$1:$CV$1,3)="3.B")*(Matriz!D52:CV52&lt;&gt;""))</f>
        <v>0</v>
      </c>
      <c r="G55" s="6" t="n">
        <f aca="false">SUMPRODUCT((LEFT(Matriz!$D$1:$CV$1,3)="4.B")*(Matriz!D52:CV52&lt;&gt;""))</f>
        <v>0</v>
      </c>
      <c r="H55" s="4" t="s">
        <v>205</v>
      </c>
      <c r="I55" s="4" t="s">
        <v>206</v>
      </c>
      <c r="J55" s="4" t="s">
        <v>207</v>
      </c>
      <c r="K55" s="4" t="s">
        <v>17</v>
      </c>
    </row>
    <row r="56" customFormat="false" ht="46.25" hidden="false" customHeight="false" outlineLevel="0" collapsed="false">
      <c r="A56" s="4" t="s">
        <v>189</v>
      </c>
      <c r="B56" s="5" t="s">
        <v>208</v>
      </c>
      <c r="C56" s="4" t="s">
        <v>209</v>
      </c>
      <c r="D56" s="6" t="n">
        <f aca="false">COUNTA(Matriz!D53:CV53)</f>
        <v>22</v>
      </c>
      <c r="E56" s="6" t="n">
        <f aca="false">SUMPRODUCT((LEFT(Matriz!$D$1:$CV$1,3)="3.A")*(Matriz!D53:CV53&lt;&gt;""))</f>
        <v>8</v>
      </c>
      <c r="F56" s="6" t="n">
        <f aca="false">SUMPRODUCT((LEFT(Matriz!$D$1:$CV$1,3)="3.B")*(Matriz!D53:CV53&lt;&gt;""))</f>
        <v>9</v>
      </c>
      <c r="G56" s="6" t="n">
        <f aca="false">SUMPRODUCT((LEFT(Matriz!$D$1:$CV$1,3)="4.B")*(Matriz!D53:CV53&lt;&gt;""))</f>
        <v>5</v>
      </c>
      <c r="H56" s="4" t="s">
        <v>210</v>
      </c>
      <c r="I56" s="4" t="s">
        <v>211</v>
      </c>
      <c r="J56" s="4" t="s">
        <v>212</v>
      </c>
      <c r="K56" s="4" t="s">
        <v>213</v>
      </c>
    </row>
    <row r="57" customFormat="false" ht="15" hidden="false" customHeight="false" outlineLevel="0" collapsed="false">
      <c r="A57" s="4" t="s">
        <v>189</v>
      </c>
      <c r="B57" s="5" t="s">
        <v>214</v>
      </c>
      <c r="C57" s="4" t="s">
        <v>215</v>
      </c>
      <c r="D57" s="6" t="n">
        <f aca="false">COUNTA(Matriz!D54:CV54)</f>
        <v>4</v>
      </c>
      <c r="E57" s="6" t="n">
        <f aca="false">SUMPRODUCT((LEFT(Matriz!$D$1:$CV$1,3)="3.A")*(Matriz!D54:CV54&lt;&gt;""))</f>
        <v>4</v>
      </c>
      <c r="F57" s="6" t="n">
        <f aca="false">SUMPRODUCT((LEFT(Matriz!$D$1:$CV$1,3)="3.B")*(Matriz!D54:CV54&lt;&gt;""))</f>
        <v>0</v>
      </c>
      <c r="G57" s="6" t="n">
        <f aca="false">SUMPRODUCT((LEFT(Matriz!$D$1:$CV$1,3)="4.B")*(Matriz!D54:CV54&lt;&gt;""))</f>
        <v>0</v>
      </c>
      <c r="H57" s="4" t="s">
        <v>216</v>
      </c>
      <c r="I57" s="4" t="s">
        <v>42</v>
      </c>
      <c r="J57" s="4" t="s">
        <v>17</v>
      </c>
      <c r="K57" s="4" t="s">
        <v>17</v>
      </c>
    </row>
    <row r="58" customFormat="false" ht="23.85" hidden="false" customHeight="false" outlineLevel="0" collapsed="false">
      <c r="A58" s="4" t="s">
        <v>189</v>
      </c>
      <c r="B58" s="5" t="s">
        <v>217</v>
      </c>
      <c r="C58" s="4" t="s">
        <v>218</v>
      </c>
      <c r="D58" s="6" t="n">
        <f aca="false">COUNTA(Matriz!D55:CV55)</f>
        <v>6</v>
      </c>
      <c r="E58" s="6" t="n">
        <f aca="false">SUMPRODUCT((LEFT(Matriz!$D$1:$CV$1,3)="3.A")*(Matriz!D55:CV55&lt;&gt;""))</f>
        <v>6</v>
      </c>
      <c r="F58" s="6" t="n">
        <f aca="false">SUMPRODUCT((LEFT(Matriz!$D$1:$CV$1,3)="3.B")*(Matriz!D55:CV55&lt;&gt;""))</f>
        <v>0</v>
      </c>
      <c r="G58" s="6" t="n">
        <f aca="false">SUMPRODUCT((LEFT(Matriz!$D$1:$CV$1,3)="4.B")*(Matriz!D55:CV55&lt;&gt;""))</f>
        <v>0</v>
      </c>
      <c r="H58" s="4" t="s">
        <v>219</v>
      </c>
      <c r="I58" s="4" t="s">
        <v>220</v>
      </c>
      <c r="J58" s="4" t="s">
        <v>221</v>
      </c>
      <c r="K58" s="4" t="s">
        <v>222</v>
      </c>
    </row>
    <row r="59" customFormat="false" ht="23.85" hidden="false" customHeight="false" outlineLevel="0" collapsed="false">
      <c r="A59" s="4" t="s">
        <v>189</v>
      </c>
      <c r="B59" s="5" t="s">
        <v>223</v>
      </c>
      <c r="C59" s="4" t="s">
        <v>224</v>
      </c>
      <c r="D59" s="6" t="n">
        <f aca="false">COUNTA(Matriz!D56:CV56)</f>
        <v>6</v>
      </c>
      <c r="E59" s="6" t="n">
        <f aca="false">SUMPRODUCT((LEFT(Matriz!$D$1:$CV$1,3)="3.A")*(Matriz!D56:CV56&lt;&gt;""))</f>
        <v>6</v>
      </c>
      <c r="F59" s="6" t="n">
        <f aca="false">SUMPRODUCT((LEFT(Matriz!$D$1:$CV$1,3)="3.B")*(Matriz!D56:CV56&lt;&gt;""))</f>
        <v>0</v>
      </c>
      <c r="G59" s="6" t="n">
        <f aca="false">SUMPRODUCT((LEFT(Matriz!$D$1:$CV$1,3)="4.B")*(Matriz!D56:CV56&lt;&gt;""))</f>
        <v>0</v>
      </c>
      <c r="H59" s="4" t="s">
        <v>225</v>
      </c>
      <c r="I59" s="4" t="s">
        <v>220</v>
      </c>
      <c r="J59" s="4" t="s">
        <v>226</v>
      </c>
      <c r="K59" s="4" t="s">
        <v>227</v>
      </c>
    </row>
    <row r="60" customFormat="false" ht="15" hidden="false" customHeight="false" outlineLevel="0" collapsed="false">
      <c r="A60" s="4" t="s">
        <v>189</v>
      </c>
      <c r="B60" s="5" t="s">
        <v>228</v>
      </c>
      <c r="C60" s="4" t="s">
        <v>229</v>
      </c>
      <c r="D60" s="6" t="n">
        <f aca="false">COUNTA(Matriz!D57:CV57)</f>
        <v>1</v>
      </c>
      <c r="E60" s="6" t="n">
        <f aca="false">SUMPRODUCT((LEFT(Matriz!$D$1:$CV$1,3)="3.A")*(Matriz!D57:CV57&lt;&gt;""))</f>
        <v>1</v>
      </c>
      <c r="F60" s="6" t="n">
        <f aca="false">SUMPRODUCT((LEFT(Matriz!$D$1:$CV$1,3)="3.B")*(Matriz!D57:CV57&lt;&gt;""))</f>
        <v>0</v>
      </c>
      <c r="G60" s="6" t="n">
        <f aca="false">SUMPRODUCT((LEFT(Matriz!$D$1:$CV$1,3)="4.B")*(Matriz!D57:CV57&lt;&gt;""))</f>
        <v>0</v>
      </c>
      <c r="H60" s="4" t="s">
        <v>220</v>
      </c>
      <c r="I60" s="4" t="s">
        <v>17</v>
      </c>
      <c r="J60" s="4" t="s">
        <v>17</v>
      </c>
      <c r="K60" s="4" t="s">
        <v>17</v>
      </c>
    </row>
    <row r="61" customFormat="false" ht="35.05" hidden="false" customHeight="false" outlineLevel="0" collapsed="false">
      <c r="A61" s="4" t="s">
        <v>189</v>
      </c>
      <c r="B61" s="5" t="s">
        <v>230</v>
      </c>
      <c r="C61" s="4" t="s">
        <v>231</v>
      </c>
      <c r="D61" s="6" t="n">
        <f aca="false">COUNTA(Matriz!D58:CV58)</f>
        <v>11</v>
      </c>
      <c r="E61" s="6" t="n">
        <f aca="false">SUMPRODUCT((LEFT(Matriz!$D$1:$CV$1,3)="3.A")*(Matriz!D58:CV58&lt;&gt;""))</f>
        <v>9</v>
      </c>
      <c r="F61" s="6" t="n">
        <f aca="false">SUMPRODUCT((LEFT(Matriz!$D$1:$CV$1,3)="3.B")*(Matriz!D58:CV58&lt;&gt;""))</f>
        <v>2</v>
      </c>
      <c r="G61" s="6" t="n">
        <f aca="false">SUMPRODUCT((LEFT(Matriz!$D$1:$CV$1,3)="4.B")*(Matriz!D58:CV58&lt;&gt;""))</f>
        <v>0</v>
      </c>
      <c r="H61" s="4" t="s">
        <v>232</v>
      </c>
      <c r="I61" s="4" t="s">
        <v>233</v>
      </c>
      <c r="J61" s="4" t="s">
        <v>234</v>
      </c>
      <c r="K61" s="4" t="s">
        <v>235</v>
      </c>
    </row>
    <row r="62" customFormat="false" ht="35.05" hidden="false" customHeight="false" outlineLevel="0" collapsed="false">
      <c r="A62" s="4" t="s">
        <v>189</v>
      </c>
      <c r="B62" s="5" t="s">
        <v>236</v>
      </c>
      <c r="C62" s="4" t="s">
        <v>237</v>
      </c>
      <c r="D62" s="6" t="n">
        <f aca="false">COUNTA(Matriz!D59:CV59)</f>
        <v>19</v>
      </c>
      <c r="E62" s="6" t="n">
        <f aca="false">SUMPRODUCT((LEFT(Matriz!$D$1:$CV$1,3)="3.A")*(Matriz!D59:CV59&lt;&gt;""))</f>
        <v>14</v>
      </c>
      <c r="F62" s="6" t="n">
        <f aca="false">SUMPRODUCT((LEFT(Matriz!$D$1:$CV$1,3)="3.B")*(Matriz!D59:CV59&lt;&gt;""))</f>
        <v>4</v>
      </c>
      <c r="G62" s="6" t="n">
        <f aca="false">SUMPRODUCT((LEFT(Matriz!$D$1:$CV$1,3)="4.B")*(Matriz!D59:CV59&lt;&gt;""))</f>
        <v>1</v>
      </c>
      <c r="H62" s="4" t="s">
        <v>238</v>
      </c>
      <c r="I62" s="4" t="s">
        <v>239</v>
      </c>
      <c r="J62" s="4" t="s">
        <v>240</v>
      </c>
      <c r="K62" s="4" t="s">
        <v>241</v>
      </c>
    </row>
    <row r="63" customFormat="false" ht="15" hidden="false" customHeight="false" outlineLevel="0" collapsed="false">
      <c r="A63" s="4" t="s">
        <v>189</v>
      </c>
      <c r="B63" s="5" t="s">
        <v>242</v>
      </c>
      <c r="C63" s="4" t="s">
        <v>243</v>
      </c>
      <c r="D63" s="6" t="n">
        <f aca="false">COUNTA(Matriz!D60:CV60)</f>
        <v>5</v>
      </c>
      <c r="E63" s="6" t="n">
        <f aca="false">SUMPRODUCT((LEFT(Matriz!$D$1:$CV$1,3)="3.A")*(Matriz!D60:CV60&lt;&gt;""))</f>
        <v>4</v>
      </c>
      <c r="F63" s="6" t="n">
        <f aca="false">SUMPRODUCT((LEFT(Matriz!$D$1:$CV$1,3)="3.B")*(Matriz!D60:CV60&lt;&gt;""))</f>
        <v>1</v>
      </c>
      <c r="G63" s="6" t="n">
        <f aca="false">SUMPRODUCT((LEFT(Matriz!$D$1:$CV$1,3)="4.B")*(Matriz!D60:CV60&lt;&gt;""))</f>
        <v>0</v>
      </c>
      <c r="H63" s="4" t="s">
        <v>244</v>
      </c>
      <c r="I63" s="4" t="s">
        <v>245</v>
      </c>
      <c r="J63" s="4" t="s">
        <v>17</v>
      </c>
      <c r="K63" s="4" t="s">
        <v>17</v>
      </c>
    </row>
    <row r="64" customFormat="false" ht="15" hidden="false" customHeight="false" outlineLevel="0" collapsed="false">
      <c r="A64" s="4" t="s">
        <v>189</v>
      </c>
      <c r="B64" s="5" t="s">
        <v>246</v>
      </c>
      <c r="C64" s="4" t="s">
        <v>247</v>
      </c>
      <c r="D64" s="6" t="n">
        <f aca="false">COUNTA(Matriz!D61:CV61)</f>
        <v>7</v>
      </c>
      <c r="E64" s="6" t="n">
        <f aca="false">SUMPRODUCT((LEFT(Matriz!$D$1:$CV$1,3)="3.A")*(Matriz!D61:CV61&lt;&gt;""))</f>
        <v>6</v>
      </c>
      <c r="F64" s="6" t="n">
        <f aca="false">SUMPRODUCT((LEFT(Matriz!$D$1:$CV$1,3)="3.B")*(Matriz!D61:CV61&lt;&gt;""))</f>
        <v>1</v>
      </c>
      <c r="G64" s="6" t="n">
        <f aca="false">SUMPRODUCT((LEFT(Matriz!$D$1:$CV$1,3)="4.B")*(Matriz!D61:CV61&lt;&gt;""))</f>
        <v>0</v>
      </c>
      <c r="H64" s="4" t="s">
        <v>248</v>
      </c>
      <c r="I64" s="4" t="s">
        <v>249</v>
      </c>
      <c r="J64" s="4" t="s">
        <v>250</v>
      </c>
      <c r="K64" s="4" t="s">
        <v>199</v>
      </c>
    </row>
    <row r="65" customFormat="false" ht="15" hidden="false" customHeight="false" outlineLevel="0" collapsed="false">
      <c r="A65" s="4" t="s">
        <v>189</v>
      </c>
      <c r="B65" s="5" t="s">
        <v>251</v>
      </c>
      <c r="C65" s="4" t="s">
        <v>252</v>
      </c>
      <c r="D65" s="6" t="n">
        <f aca="false">COUNTA(Matriz!D62:CV62)</f>
        <v>3</v>
      </c>
      <c r="E65" s="6" t="n">
        <f aca="false">SUMPRODUCT((LEFT(Matriz!$D$1:$CV$1,3)="3.A")*(Matriz!D62:CV62&lt;&gt;""))</f>
        <v>2</v>
      </c>
      <c r="F65" s="6" t="n">
        <f aca="false">SUMPRODUCT((LEFT(Matriz!$D$1:$CV$1,3)="3.B")*(Matriz!D62:CV62&lt;&gt;""))</f>
        <v>1</v>
      </c>
      <c r="G65" s="6" t="n">
        <f aca="false">SUMPRODUCT((LEFT(Matriz!$D$1:$CV$1,3)="4.B")*(Matriz!D62:CV62&lt;&gt;""))</f>
        <v>0</v>
      </c>
      <c r="H65" s="4" t="s">
        <v>253</v>
      </c>
      <c r="I65" s="4" t="s">
        <v>17</v>
      </c>
      <c r="J65" s="4" t="s">
        <v>17</v>
      </c>
      <c r="K65" s="4" t="s">
        <v>17</v>
      </c>
    </row>
    <row r="66" customFormat="false" ht="15" hidden="false" customHeight="false" outlineLevel="0" collapsed="false">
      <c r="A66" s="4" t="s">
        <v>189</v>
      </c>
      <c r="B66" s="5" t="s">
        <v>254</v>
      </c>
      <c r="C66" s="4" t="s">
        <v>255</v>
      </c>
      <c r="D66" s="6" t="n">
        <f aca="false">COUNTA(Matriz!D63:CV63)</f>
        <v>2</v>
      </c>
      <c r="E66" s="6" t="n">
        <f aca="false">SUMPRODUCT((LEFT(Matriz!$D$1:$CV$1,3)="3.A")*(Matriz!D63:CV63&lt;&gt;""))</f>
        <v>0</v>
      </c>
      <c r="F66" s="6" t="n">
        <f aca="false">SUMPRODUCT((LEFT(Matriz!$D$1:$CV$1,3)="3.B")*(Matriz!D63:CV63&lt;&gt;""))</f>
        <v>2</v>
      </c>
      <c r="G66" s="6" t="n">
        <f aca="false">SUMPRODUCT((LEFT(Matriz!$D$1:$CV$1,3)="4.B")*(Matriz!D63:CV63&lt;&gt;""))</f>
        <v>0</v>
      </c>
      <c r="H66" s="4" t="s">
        <v>256</v>
      </c>
      <c r="I66" s="4" t="s">
        <v>17</v>
      </c>
      <c r="J66" s="4" t="s">
        <v>17</v>
      </c>
      <c r="K66" s="4" t="s">
        <v>17</v>
      </c>
    </row>
    <row r="67" customFormat="false" ht="35.05" hidden="false" customHeight="false" outlineLevel="0" collapsed="false">
      <c r="A67" s="4" t="s">
        <v>189</v>
      </c>
      <c r="B67" s="5" t="s">
        <v>257</v>
      </c>
      <c r="C67" s="4" t="s">
        <v>258</v>
      </c>
      <c r="D67" s="6" t="n">
        <f aca="false">COUNTA(Matriz!D64:CV64)</f>
        <v>17</v>
      </c>
      <c r="E67" s="6" t="n">
        <f aca="false">SUMPRODUCT((LEFT(Matriz!$D$1:$CV$1,3)="3.A")*(Matriz!D64:CV64&lt;&gt;""))</f>
        <v>10</v>
      </c>
      <c r="F67" s="6" t="n">
        <f aca="false">SUMPRODUCT((LEFT(Matriz!$D$1:$CV$1,3)="3.B")*(Matriz!D64:CV64&lt;&gt;""))</f>
        <v>2</v>
      </c>
      <c r="G67" s="6" t="n">
        <f aca="false">SUMPRODUCT((LEFT(Matriz!$D$1:$CV$1,3)="4.B")*(Matriz!D64:CV64&lt;&gt;""))</f>
        <v>5</v>
      </c>
      <c r="H67" s="4" t="s">
        <v>259</v>
      </c>
      <c r="I67" s="4" t="s">
        <v>260</v>
      </c>
      <c r="J67" s="4" t="s">
        <v>261</v>
      </c>
      <c r="K67" s="4" t="s">
        <v>262</v>
      </c>
    </row>
    <row r="68" customFormat="false" ht="15" hidden="false" customHeight="false" outlineLevel="0" collapsed="false">
      <c r="A68" s="4" t="s">
        <v>189</v>
      </c>
      <c r="B68" s="5" t="s">
        <v>263</v>
      </c>
      <c r="C68" s="4" t="s">
        <v>264</v>
      </c>
      <c r="D68" s="6" t="n">
        <f aca="false">COUNTA(Matriz!D65:CV65)</f>
        <v>6</v>
      </c>
      <c r="E68" s="6" t="n">
        <f aca="false">SUMPRODUCT((LEFT(Matriz!$D$1:$CV$1,3)="3.A")*(Matriz!D65:CV65&lt;&gt;""))</f>
        <v>4</v>
      </c>
      <c r="F68" s="6" t="n">
        <f aca="false">SUMPRODUCT((LEFT(Matriz!$D$1:$CV$1,3)="3.B")*(Matriz!D65:CV65&lt;&gt;""))</f>
        <v>1</v>
      </c>
      <c r="G68" s="6" t="n">
        <f aca="false">SUMPRODUCT((LEFT(Matriz!$D$1:$CV$1,3)="4.B")*(Matriz!D65:CV65&lt;&gt;""))</f>
        <v>1</v>
      </c>
      <c r="H68" s="4" t="s">
        <v>265</v>
      </c>
      <c r="I68" s="4" t="s">
        <v>266</v>
      </c>
      <c r="J68" s="4" t="s">
        <v>267</v>
      </c>
      <c r="K68" s="4" t="s">
        <v>268</v>
      </c>
    </row>
    <row r="69" customFormat="false" ht="15" hidden="false" customHeight="false" outlineLevel="0" collapsed="false">
      <c r="A69" s="4" t="s">
        <v>189</v>
      </c>
      <c r="B69" s="5" t="s">
        <v>269</v>
      </c>
      <c r="C69" s="4" t="s">
        <v>270</v>
      </c>
      <c r="D69" s="6" t="n">
        <f aca="false">COUNTA(Matriz!D66:CV66)</f>
        <v>4</v>
      </c>
      <c r="E69" s="6" t="n">
        <f aca="false">SUMPRODUCT((LEFT(Matriz!$D$1:$CV$1,3)="3.A")*(Matriz!D66:CV66&lt;&gt;""))</f>
        <v>1</v>
      </c>
      <c r="F69" s="6" t="n">
        <f aca="false">SUMPRODUCT((LEFT(Matriz!$D$1:$CV$1,3)="3.B")*(Matriz!D66:CV66&lt;&gt;""))</f>
        <v>1</v>
      </c>
      <c r="G69" s="6" t="n">
        <f aca="false">SUMPRODUCT((LEFT(Matriz!$D$1:$CV$1,3)="4.B")*(Matriz!D66:CV66&lt;&gt;""))</f>
        <v>2</v>
      </c>
      <c r="H69" s="4" t="s">
        <v>271</v>
      </c>
      <c r="I69" s="4" t="s">
        <v>17</v>
      </c>
      <c r="J69" s="4" t="s">
        <v>17</v>
      </c>
      <c r="K69" s="4" t="s">
        <v>17</v>
      </c>
    </row>
    <row r="70" customFormat="false" ht="23.85" hidden="false" customHeight="false" outlineLevel="0" collapsed="false">
      <c r="A70" s="4" t="s">
        <v>189</v>
      </c>
      <c r="B70" s="5" t="s">
        <v>272</v>
      </c>
      <c r="C70" s="4" t="s">
        <v>273</v>
      </c>
      <c r="D70" s="6" t="n">
        <f aca="false">COUNTA(Matriz!D67:CV67)</f>
        <v>9</v>
      </c>
      <c r="E70" s="6" t="n">
        <f aca="false">SUMPRODUCT((LEFT(Matriz!$D$1:$CV$1,3)="3.A")*(Matriz!D67:CV67&lt;&gt;""))</f>
        <v>6</v>
      </c>
      <c r="F70" s="6" t="n">
        <f aca="false">SUMPRODUCT((LEFT(Matriz!$D$1:$CV$1,3)="3.B")*(Matriz!D67:CV67&lt;&gt;""))</f>
        <v>3</v>
      </c>
      <c r="G70" s="6" t="n">
        <f aca="false">SUMPRODUCT((LEFT(Matriz!$D$1:$CV$1,3)="4.B")*(Matriz!D67:CV67&lt;&gt;""))</f>
        <v>0</v>
      </c>
      <c r="H70" s="4" t="s">
        <v>274</v>
      </c>
      <c r="I70" s="4" t="s">
        <v>17</v>
      </c>
      <c r="J70" s="4" t="s">
        <v>275</v>
      </c>
      <c r="K70" s="4" t="s">
        <v>17</v>
      </c>
    </row>
    <row r="71" customFormat="false" ht="15" hidden="false" customHeight="false" outlineLevel="0" collapsed="false">
      <c r="A71" s="4" t="s">
        <v>189</v>
      </c>
      <c r="B71" s="5" t="s">
        <v>276</v>
      </c>
      <c r="C71" s="4" t="s">
        <v>277</v>
      </c>
      <c r="D71" s="6" t="n">
        <f aca="false">COUNTA(Matriz!D68:CV68)</f>
        <v>5</v>
      </c>
      <c r="E71" s="6" t="n">
        <f aca="false">SUMPRODUCT((LEFT(Matriz!$D$1:$CV$1,3)="3.A")*(Matriz!D68:CV68&lt;&gt;""))</f>
        <v>3</v>
      </c>
      <c r="F71" s="6" t="n">
        <f aca="false">SUMPRODUCT((LEFT(Matriz!$D$1:$CV$1,3)="3.B")*(Matriz!D68:CV68&lt;&gt;""))</f>
        <v>0</v>
      </c>
      <c r="G71" s="6" t="n">
        <f aca="false">SUMPRODUCT((LEFT(Matriz!$D$1:$CV$1,3)="4.B")*(Matriz!D68:CV68&lt;&gt;""))</f>
        <v>2</v>
      </c>
      <c r="H71" s="4" t="s">
        <v>278</v>
      </c>
      <c r="I71" s="4" t="s">
        <v>227</v>
      </c>
      <c r="J71" s="4" t="s">
        <v>17</v>
      </c>
      <c r="K71" s="4" t="s">
        <v>17</v>
      </c>
    </row>
    <row r="72" customFormat="false" ht="15" hidden="false" customHeight="false" outlineLevel="0" collapsed="false">
      <c r="A72" s="4" t="s">
        <v>189</v>
      </c>
      <c r="B72" s="5" t="s">
        <v>279</v>
      </c>
      <c r="C72" s="4" t="s">
        <v>280</v>
      </c>
      <c r="D72" s="6" t="n">
        <f aca="false">COUNTA(Matriz!D69:CV69)</f>
        <v>3</v>
      </c>
      <c r="E72" s="6" t="n">
        <f aca="false">SUMPRODUCT((LEFT(Matriz!$D$1:$CV$1,3)="3.A")*(Matriz!D69:CV69&lt;&gt;""))</f>
        <v>3</v>
      </c>
      <c r="F72" s="6" t="n">
        <f aca="false">SUMPRODUCT((LEFT(Matriz!$D$1:$CV$1,3)="3.B")*(Matriz!D69:CV69&lt;&gt;""))</f>
        <v>0</v>
      </c>
      <c r="G72" s="6" t="n">
        <f aca="false">SUMPRODUCT((LEFT(Matriz!$D$1:$CV$1,3)="4.B")*(Matriz!D69:CV69&lt;&gt;""))</f>
        <v>0</v>
      </c>
      <c r="H72" s="4" t="s">
        <v>281</v>
      </c>
      <c r="I72" s="4" t="s">
        <v>227</v>
      </c>
      <c r="J72" s="4" t="s">
        <v>282</v>
      </c>
      <c r="K72" s="4" t="s">
        <v>17</v>
      </c>
    </row>
    <row r="73" customFormat="false" ht="15" hidden="false" customHeight="false" outlineLevel="0" collapsed="false">
      <c r="A73" s="4" t="s">
        <v>189</v>
      </c>
      <c r="B73" s="5" t="s">
        <v>283</v>
      </c>
      <c r="C73" s="4" t="s">
        <v>284</v>
      </c>
      <c r="D73" s="6" t="n">
        <f aca="false">COUNTA(Matriz!D70:CV70)</f>
        <v>4</v>
      </c>
      <c r="E73" s="6" t="n">
        <f aca="false">SUMPRODUCT((LEFT(Matriz!$D$1:$CV$1,3)="3.A")*(Matriz!D70:CV70&lt;&gt;""))</f>
        <v>1</v>
      </c>
      <c r="F73" s="6" t="n">
        <f aca="false">SUMPRODUCT((LEFT(Matriz!$D$1:$CV$1,3)="3.B")*(Matriz!D70:CV70&lt;&gt;""))</f>
        <v>3</v>
      </c>
      <c r="G73" s="6" t="n">
        <f aca="false">SUMPRODUCT((LEFT(Matriz!$D$1:$CV$1,3)="4.B")*(Matriz!D70:CV70&lt;&gt;""))</f>
        <v>0</v>
      </c>
      <c r="H73" s="4" t="s">
        <v>285</v>
      </c>
      <c r="I73" s="4" t="s">
        <v>286</v>
      </c>
      <c r="J73" s="4" t="s">
        <v>17</v>
      </c>
      <c r="K73" s="4" t="s">
        <v>17</v>
      </c>
    </row>
    <row r="74" customFormat="false" ht="15" hidden="false" customHeight="false" outlineLevel="0" collapsed="false">
      <c r="A74" s="4" t="s">
        <v>189</v>
      </c>
      <c r="B74" s="5" t="s">
        <v>287</v>
      </c>
      <c r="C74" s="4" t="s">
        <v>288</v>
      </c>
      <c r="D74" s="6" t="n">
        <f aca="false">COUNTA(Matriz!D71:CV71)</f>
        <v>6</v>
      </c>
      <c r="E74" s="6" t="n">
        <f aca="false">SUMPRODUCT((LEFT(Matriz!$D$1:$CV$1,3)="3.A")*(Matriz!D71:CV71&lt;&gt;""))</f>
        <v>5</v>
      </c>
      <c r="F74" s="6" t="n">
        <f aca="false">SUMPRODUCT((LEFT(Matriz!$D$1:$CV$1,3)="3.B")*(Matriz!D71:CV71&lt;&gt;""))</f>
        <v>1</v>
      </c>
      <c r="G74" s="6" t="n">
        <f aca="false">SUMPRODUCT((LEFT(Matriz!$D$1:$CV$1,3)="4.B")*(Matriz!D71:CV71&lt;&gt;""))</f>
        <v>0</v>
      </c>
      <c r="H74" s="4" t="s">
        <v>289</v>
      </c>
      <c r="I74" s="4" t="s">
        <v>290</v>
      </c>
      <c r="J74" s="4" t="s">
        <v>17</v>
      </c>
      <c r="K74" s="4" t="s">
        <v>17</v>
      </c>
    </row>
    <row r="75" customFormat="false" ht="15" hidden="false" customHeight="false" outlineLevel="0" collapsed="false">
      <c r="A75" s="4" t="s">
        <v>189</v>
      </c>
      <c r="B75" s="5" t="s">
        <v>291</v>
      </c>
      <c r="C75" s="4" t="s">
        <v>292</v>
      </c>
      <c r="D75" s="6" t="n">
        <f aca="false">COUNTA(Matriz!D72:CV72)</f>
        <v>2</v>
      </c>
      <c r="E75" s="6" t="n">
        <f aca="false">SUMPRODUCT((LEFT(Matriz!$D$1:$CV$1,3)="3.A")*(Matriz!D72:CV72&lt;&gt;""))</f>
        <v>2</v>
      </c>
      <c r="F75" s="6" t="n">
        <f aca="false">SUMPRODUCT((LEFT(Matriz!$D$1:$CV$1,3)="3.B")*(Matriz!D72:CV72&lt;&gt;""))</f>
        <v>0</v>
      </c>
      <c r="G75" s="6" t="n">
        <f aca="false">SUMPRODUCT((LEFT(Matriz!$D$1:$CV$1,3)="4.B")*(Matriz!D72:CV72&lt;&gt;""))</f>
        <v>0</v>
      </c>
      <c r="H75" s="4" t="s">
        <v>293</v>
      </c>
      <c r="I75" s="4" t="s">
        <v>294</v>
      </c>
      <c r="J75" s="4" t="s">
        <v>295</v>
      </c>
      <c r="K75" s="4" t="s">
        <v>296</v>
      </c>
    </row>
    <row r="76" customFormat="false" ht="15" hidden="false" customHeight="false" outlineLevel="0" collapsed="false">
      <c r="A76" s="4" t="s">
        <v>189</v>
      </c>
      <c r="B76" s="5" t="s">
        <v>297</v>
      </c>
      <c r="C76" s="4" t="s">
        <v>298</v>
      </c>
      <c r="D76" s="6" t="n">
        <f aca="false">COUNTA(Matriz!D73:CV73)</f>
        <v>3</v>
      </c>
      <c r="E76" s="6" t="n">
        <f aca="false">SUMPRODUCT((LEFT(Matriz!$D$1:$CV$1,3)="3.A")*(Matriz!D73:CV73&lt;&gt;""))</f>
        <v>3</v>
      </c>
      <c r="F76" s="6" t="n">
        <f aca="false">SUMPRODUCT((LEFT(Matriz!$D$1:$CV$1,3)="3.B")*(Matriz!D73:CV73&lt;&gt;""))</f>
        <v>0</v>
      </c>
      <c r="G76" s="6" t="n">
        <f aca="false">SUMPRODUCT((LEFT(Matriz!$D$1:$CV$1,3)="4.B")*(Matriz!D73:CV73&lt;&gt;""))</f>
        <v>0</v>
      </c>
      <c r="H76" s="4" t="s">
        <v>299</v>
      </c>
      <c r="I76" s="4" t="s">
        <v>294</v>
      </c>
      <c r="J76" s="4" t="s">
        <v>17</v>
      </c>
      <c r="K76" s="4" t="s">
        <v>17</v>
      </c>
    </row>
    <row r="77" customFormat="false" ht="15" hidden="false" customHeight="false" outlineLevel="0" collapsed="false">
      <c r="A77" s="4" t="s">
        <v>189</v>
      </c>
      <c r="B77" s="5" t="s">
        <v>300</v>
      </c>
      <c r="C77" s="4" t="s">
        <v>301</v>
      </c>
      <c r="D77" s="6" t="n">
        <f aca="false">COUNTA(Matriz!D74:CV74)</f>
        <v>4</v>
      </c>
      <c r="E77" s="6" t="n">
        <f aca="false">SUMPRODUCT((LEFT(Matriz!$D$1:$CV$1,3)="3.A")*(Matriz!D74:CV74&lt;&gt;""))</f>
        <v>4</v>
      </c>
      <c r="F77" s="6" t="n">
        <f aca="false">SUMPRODUCT((LEFT(Matriz!$D$1:$CV$1,3)="3.B")*(Matriz!D74:CV74&lt;&gt;""))</f>
        <v>0</v>
      </c>
      <c r="G77" s="6" t="n">
        <f aca="false">SUMPRODUCT((LEFT(Matriz!$D$1:$CV$1,3)="4.B")*(Matriz!D74:CV74&lt;&gt;""))</f>
        <v>0</v>
      </c>
      <c r="H77" s="4" t="s">
        <v>302</v>
      </c>
      <c r="I77" s="4" t="s">
        <v>294</v>
      </c>
      <c r="J77" s="4" t="s">
        <v>17</v>
      </c>
      <c r="K77" s="4" t="s">
        <v>17</v>
      </c>
    </row>
    <row r="78" customFormat="false" ht="15" hidden="false" customHeight="false" outlineLevel="0" collapsed="false">
      <c r="A78" s="4" t="s">
        <v>189</v>
      </c>
      <c r="B78" s="5" t="s">
        <v>303</v>
      </c>
      <c r="C78" s="4" t="s">
        <v>304</v>
      </c>
      <c r="D78" s="6" t="n">
        <f aca="false">COUNTA(Matriz!D75:CV75)</f>
        <v>2</v>
      </c>
      <c r="E78" s="6" t="n">
        <f aca="false">SUMPRODUCT((LEFT(Matriz!$D$1:$CV$1,3)="3.A")*(Matriz!D75:CV75&lt;&gt;""))</f>
        <v>2</v>
      </c>
      <c r="F78" s="6" t="n">
        <f aca="false">SUMPRODUCT((LEFT(Matriz!$D$1:$CV$1,3)="3.B")*(Matriz!D75:CV75&lt;&gt;""))</f>
        <v>0</v>
      </c>
      <c r="G78" s="6" t="n">
        <f aca="false">SUMPRODUCT((LEFT(Matriz!$D$1:$CV$1,3)="4.B")*(Matriz!D75:CV75&lt;&gt;""))</f>
        <v>0</v>
      </c>
      <c r="H78" s="4" t="s">
        <v>305</v>
      </c>
      <c r="I78" s="4" t="s">
        <v>296</v>
      </c>
      <c r="J78" s="4" t="s">
        <v>17</v>
      </c>
      <c r="K78" s="4" t="s">
        <v>17</v>
      </c>
    </row>
    <row r="79" customFormat="false" ht="15" hidden="false" customHeight="false" outlineLevel="0" collapsed="false">
      <c r="A79" s="4" t="s">
        <v>189</v>
      </c>
      <c r="B79" s="5" t="s">
        <v>306</v>
      </c>
      <c r="C79" s="4" t="s">
        <v>307</v>
      </c>
      <c r="D79" s="6" t="n">
        <f aca="false">COUNTA(Matriz!D76:CV76)</f>
        <v>2</v>
      </c>
      <c r="E79" s="6" t="n">
        <f aca="false">SUMPRODUCT((LEFT(Matriz!$D$1:$CV$1,3)="3.A")*(Matriz!D76:CV76&lt;&gt;""))</f>
        <v>1</v>
      </c>
      <c r="F79" s="6" t="n">
        <f aca="false">SUMPRODUCT((LEFT(Matriz!$D$1:$CV$1,3)="3.B")*(Matriz!D76:CV76&lt;&gt;""))</f>
        <v>0</v>
      </c>
      <c r="G79" s="6" t="n">
        <f aca="false">SUMPRODUCT((LEFT(Matriz!$D$1:$CV$1,3)="4.B")*(Matriz!D76:CV76&lt;&gt;""))</f>
        <v>1</v>
      </c>
      <c r="H79" s="4" t="s">
        <v>308</v>
      </c>
      <c r="I79" s="4" t="s">
        <v>17</v>
      </c>
      <c r="J79" s="4" t="s">
        <v>17</v>
      </c>
      <c r="K79" s="4" t="s">
        <v>17</v>
      </c>
    </row>
    <row r="80" customFormat="false" ht="23.85" hidden="false" customHeight="false" outlineLevel="0" collapsed="false">
      <c r="A80" s="4" t="s">
        <v>189</v>
      </c>
      <c r="B80" s="5" t="s">
        <v>309</v>
      </c>
      <c r="C80" s="4" t="s">
        <v>310</v>
      </c>
      <c r="D80" s="6" t="n">
        <f aca="false">COUNTA(Matriz!D77:CV77)</f>
        <v>2</v>
      </c>
      <c r="E80" s="6" t="n">
        <f aca="false">SUMPRODUCT((LEFT(Matriz!$D$1:$CV$1,3)="3.A")*(Matriz!D77:CV77&lt;&gt;""))</f>
        <v>1</v>
      </c>
      <c r="F80" s="6" t="n">
        <f aca="false">SUMPRODUCT((LEFT(Matriz!$D$1:$CV$1,3)="3.B")*(Matriz!D77:CV77&lt;&gt;""))</f>
        <v>1</v>
      </c>
      <c r="G80" s="6" t="n">
        <f aca="false">SUMPRODUCT((LEFT(Matriz!$D$1:$CV$1,3)="4.B")*(Matriz!D77:CV77&lt;&gt;""))</f>
        <v>0</v>
      </c>
      <c r="H80" s="4" t="s">
        <v>311</v>
      </c>
      <c r="I80" s="4" t="s">
        <v>312</v>
      </c>
      <c r="J80" s="4" t="s">
        <v>17</v>
      </c>
      <c r="K80" s="4" t="s">
        <v>17</v>
      </c>
    </row>
    <row r="81" customFormat="false" ht="15" hidden="false" customHeight="false" outlineLevel="0" collapsed="false">
      <c r="A81" s="4" t="s">
        <v>189</v>
      </c>
      <c r="B81" s="5" t="s">
        <v>313</v>
      </c>
      <c r="C81" s="4" t="s">
        <v>314</v>
      </c>
      <c r="D81" s="6" t="n">
        <f aca="false">COUNTA(Matriz!D78:CV78)</f>
        <v>5</v>
      </c>
      <c r="E81" s="6" t="n">
        <f aca="false">SUMPRODUCT((LEFT(Matriz!$D$1:$CV$1,3)="3.A")*(Matriz!D78:CV78&lt;&gt;""))</f>
        <v>3</v>
      </c>
      <c r="F81" s="6" t="n">
        <f aca="false">SUMPRODUCT((LEFT(Matriz!$D$1:$CV$1,3)="3.B")*(Matriz!D78:CV78&lt;&gt;""))</f>
        <v>0</v>
      </c>
      <c r="G81" s="6" t="n">
        <f aca="false">SUMPRODUCT((LEFT(Matriz!$D$1:$CV$1,3)="4.B")*(Matriz!D78:CV78&lt;&gt;""))</f>
        <v>2</v>
      </c>
      <c r="H81" s="4" t="s">
        <v>315</v>
      </c>
      <c r="I81" s="4" t="s">
        <v>17</v>
      </c>
      <c r="J81" s="4" t="s">
        <v>17</v>
      </c>
      <c r="K81" s="4" t="s">
        <v>17</v>
      </c>
    </row>
    <row r="82" customFormat="false" ht="15" hidden="false" customHeight="false" outlineLevel="0" collapsed="false">
      <c r="A82" s="4" t="s">
        <v>316</v>
      </c>
      <c r="B82" s="5" t="s">
        <v>317</v>
      </c>
      <c r="C82" s="4" t="s">
        <v>318</v>
      </c>
      <c r="D82" s="6" t="n">
        <f aca="false">COUNTA(Matriz!D79:CV79)</f>
        <v>5</v>
      </c>
      <c r="E82" s="6" t="n">
        <f aca="false">SUMPRODUCT((LEFT(Matriz!$D$1:$CV$1,3)="3.A")*(Matriz!D79:CV79&lt;&gt;""))</f>
        <v>5</v>
      </c>
      <c r="F82" s="6" t="n">
        <f aca="false">SUMPRODUCT((LEFT(Matriz!$D$1:$CV$1,3)="3.B")*(Matriz!D79:CV79&lt;&gt;""))</f>
        <v>0</v>
      </c>
      <c r="G82" s="6" t="n">
        <f aca="false">SUMPRODUCT((LEFT(Matriz!$D$1:$CV$1,3)="4.B")*(Matriz!D79:CV79&lt;&gt;""))</f>
        <v>0</v>
      </c>
      <c r="H82" s="4" t="s">
        <v>319</v>
      </c>
      <c r="I82" s="4" t="s">
        <v>320</v>
      </c>
      <c r="J82" s="4" t="s">
        <v>321</v>
      </c>
      <c r="K82" s="4" t="s">
        <v>84</v>
      </c>
    </row>
    <row r="83" customFormat="false" ht="15" hidden="false" customHeight="false" outlineLevel="0" collapsed="false">
      <c r="A83" s="4" t="s">
        <v>316</v>
      </c>
      <c r="B83" s="5" t="s">
        <v>322</v>
      </c>
      <c r="C83" s="4" t="s">
        <v>323</v>
      </c>
      <c r="D83" s="6" t="n">
        <f aca="false">COUNTA(Matriz!D80:CV80)</f>
        <v>2</v>
      </c>
      <c r="E83" s="6" t="n">
        <f aca="false">SUMPRODUCT((LEFT(Matriz!$D$1:$CV$1,3)="3.A")*(Matriz!D80:CV80&lt;&gt;""))</f>
        <v>2</v>
      </c>
      <c r="F83" s="6" t="n">
        <f aca="false">SUMPRODUCT((LEFT(Matriz!$D$1:$CV$1,3)="3.B")*(Matriz!D80:CV80&lt;&gt;""))</f>
        <v>0</v>
      </c>
      <c r="G83" s="6" t="n">
        <f aca="false">SUMPRODUCT((LEFT(Matriz!$D$1:$CV$1,3)="4.B")*(Matriz!D80:CV80&lt;&gt;""))</f>
        <v>0</v>
      </c>
      <c r="H83" s="4" t="s">
        <v>324</v>
      </c>
      <c r="I83" s="4" t="s">
        <v>324</v>
      </c>
      <c r="J83" s="4" t="s">
        <v>17</v>
      </c>
      <c r="K83" s="4" t="s">
        <v>17</v>
      </c>
    </row>
    <row r="84" customFormat="false" ht="23.85" hidden="false" customHeight="false" outlineLevel="0" collapsed="false">
      <c r="A84" s="4" t="s">
        <v>316</v>
      </c>
      <c r="B84" s="5" t="s">
        <v>325</v>
      </c>
      <c r="C84" s="4" t="s">
        <v>326</v>
      </c>
      <c r="D84" s="6" t="n">
        <f aca="false">COUNTA(Matriz!D81:CV81)</f>
        <v>3</v>
      </c>
      <c r="E84" s="6" t="n">
        <f aca="false">SUMPRODUCT((LEFT(Matriz!$D$1:$CV$1,3)="3.A")*(Matriz!D81:CV81&lt;&gt;""))</f>
        <v>2</v>
      </c>
      <c r="F84" s="6" t="n">
        <f aca="false">SUMPRODUCT((LEFT(Matriz!$D$1:$CV$1,3)="3.B")*(Matriz!D81:CV81&lt;&gt;""))</f>
        <v>1</v>
      </c>
      <c r="G84" s="6" t="n">
        <f aca="false">SUMPRODUCT((LEFT(Matriz!$D$1:$CV$1,3)="4.B")*(Matriz!D81:CV81&lt;&gt;""))</f>
        <v>0</v>
      </c>
      <c r="H84" s="4" t="s">
        <v>327</v>
      </c>
      <c r="I84" s="4" t="s">
        <v>320</v>
      </c>
      <c r="J84" s="4" t="s">
        <v>328</v>
      </c>
      <c r="K84" s="4" t="s">
        <v>329</v>
      </c>
    </row>
    <row r="85" customFormat="false" ht="23.85" hidden="false" customHeight="false" outlineLevel="0" collapsed="false">
      <c r="A85" s="4" t="s">
        <v>316</v>
      </c>
      <c r="B85" s="5" t="s">
        <v>330</v>
      </c>
      <c r="C85" s="4" t="s">
        <v>331</v>
      </c>
      <c r="D85" s="6" t="n">
        <f aca="false">COUNTA(Matriz!D82:CV82)</f>
        <v>5</v>
      </c>
      <c r="E85" s="6" t="n">
        <f aca="false">SUMPRODUCT((LEFT(Matriz!$D$1:$CV$1,3)="3.A")*(Matriz!D82:CV82&lt;&gt;""))</f>
        <v>4</v>
      </c>
      <c r="F85" s="6" t="n">
        <f aca="false">SUMPRODUCT((LEFT(Matriz!$D$1:$CV$1,3)="3.B")*(Matriz!D82:CV82&lt;&gt;""))</f>
        <v>1</v>
      </c>
      <c r="G85" s="6" t="n">
        <f aca="false">SUMPRODUCT((LEFT(Matriz!$D$1:$CV$1,3)="4.B")*(Matriz!D82:CV82&lt;&gt;""))</f>
        <v>0</v>
      </c>
      <c r="H85" s="4" t="s">
        <v>332</v>
      </c>
      <c r="I85" s="4" t="s">
        <v>333</v>
      </c>
      <c r="J85" s="4" t="s">
        <v>334</v>
      </c>
      <c r="K85" s="4" t="s">
        <v>109</v>
      </c>
    </row>
    <row r="86" customFormat="false" ht="15" hidden="false" customHeight="false" outlineLevel="0" collapsed="false">
      <c r="A86" s="4" t="s">
        <v>316</v>
      </c>
      <c r="B86" s="5" t="s">
        <v>335</v>
      </c>
      <c r="C86" s="4" t="s">
        <v>336</v>
      </c>
      <c r="D86" s="6" t="n">
        <f aca="false">COUNTA(Matriz!D83:CV83)</f>
        <v>2</v>
      </c>
      <c r="E86" s="6" t="n">
        <f aca="false">SUMPRODUCT((LEFT(Matriz!$D$1:$CV$1,3)="3.A")*(Matriz!D83:CV83&lt;&gt;""))</f>
        <v>2</v>
      </c>
      <c r="F86" s="6" t="n">
        <f aca="false">SUMPRODUCT((LEFT(Matriz!$D$1:$CV$1,3)="3.B")*(Matriz!D83:CV83&lt;&gt;""))</f>
        <v>0</v>
      </c>
      <c r="G86" s="6" t="n">
        <f aca="false">SUMPRODUCT((LEFT(Matriz!$D$1:$CV$1,3)="4.B")*(Matriz!D83:CV83&lt;&gt;""))</f>
        <v>0</v>
      </c>
      <c r="H86" s="4" t="s">
        <v>337</v>
      </c>
      <c r="I86" s="4" t="s">
        <v>17</v>
      </c>
      <c r="J86" s="4" t="s">
        <v>338</v>
      </c>
      <c r="K86" s="4" t="s">
        <v>17</v>
      </c>
    </row>
    <row r="87" customFormat="false" ht="15" hidden="false" customHeight="false" outlineLevel="0" collapsed="false">
      <c r="A87" s="4" t="s">
        <v>339</v>
      </c>
      <c r="B87" s="5" t="s">
        <v>340</v>
      </c>
      <c r="C87" s="4" t="s">
        <v>341</v>
      </c>
      <c r="D87" s="6" t="n">
        <f aca="false">COUNTA(Matriz!D84:CV84)</f>
        <v>4</v>
      </c>
      <c r="E87" s="6" t="n">
        <f aca="false">SUMPRODUCT((LEFT(Matriz!$D$1:$CV$1,3)="3.A")*(Matriz!D84:CV84&lt;&gt;""))</f>
        <v>2</v>
      </c>
      <c r="F87" s="6" t="n">
        <f aca="false">SUMPRODUCT((LEFT(Matriz!$D$1:$CV$1,3)="3.B")*(Matriz!D84:CV84&lt;&gt;""))</f>
        <v>1</v>
      </c>
      <c r="G87" s="6" t="n">
        <f aca="false">SUMPRODUCT((LEFT(Matriz!$D$1:$CV$1,3)="4.B")*(Matriz!D84:CV84&lt;&gt;""))</f>
        <v>1</v>
      </c>
      <c r="H87" s="4" t="s">
        <v>342</v>
      </c>
      <c r="I87" s="4" t="s">
        <v>17</v>
      </c>
      <c r="J87" s="4" t="s">
        <v>17</v>
      </c>
      <c r="K87" s="4" t="s">
        <v>17</v>
      </c>
    </row>
    <row r="88" customFormat="false" ht="23.85" hidden="false" customHeight="false" outlineLevel="0" collapsed="false">
      <c r="A88" s="4" t="s">
        <v>339</v>
      </c>
      <c r="B88" s="5" t="s">
        <v>343</v>
      </c>
      <c r="C88" s="4" t="s">
        <v>344</v>
      </c>
      <c r="D88" s="6" t="n">
        <f aca="false">COUNTA(Matriz!D85:CV85)</f>
        <v>4</v>
      </c>
      <c r="E88" s="6" t="n">
        <f aca="false">SUMPRODUCT((LEFT(Matriz!$D$1:$CV$1,3)="3.A")*(Matriz!D85:CV85&lt;&gt;""))</f>
        <v>3</v>
      </c>
      <c r="F88" s="6" t="n">
        <f aca="false">SUMPRODUCT((LEFT(Matriz!$D$1:$CV$1,3)="3.B")*(Matriz!D85:CV85&lt;&gt;""))</f>
        <v>1</v>
      </c>
      <c r="G88" s="6" t="n">
        <f aca="false">SUMPRODUCT((LEFT(Matriz!$D$1:$CV$1,3)="4.B")*(Matriz!D85:CV85&lt;&gt;""))</f>
        <v>0</v>
      </c>
      <c r="H88" s="4" t="s">
        <v>345</v>
      </c>
      <c r="I88" s="4" t="s">
        <v>346</v>
      </c>
      <c r="J88" s="4" t="s">
        <v>347</v>
      </c>
      <c r="K88" s="4" t="s">
        <v>17</v>
      </c>
    </row>
    <row r="89" customFormat="false" ht="23.85" hidden="false" customHeight="false" outlineLevel="0" collapsed="false">
      <c r="A89" s="4" t="s">
        <v>339</v>
      </c>
      <c r="B89" s="5" t="s">
        <v>348</v>
      </c>
      <c r="C89" s="4" t="s">
        <v>349</v>
      </c>
      <c r="D89" s="6" t="n">
        <f aca="false">COUNTA(Matriz!D86:CV86)</f>
        <v>8</v>
      </c>
      <c r="E89" s="6" t="n">
        <f aca="false">SUMPRODUCT((LEFT(Matriz!$D$1:$CV$1,3)="3.A")*(Matriz!D86:CV86&lt;&gt;""))</f>
        <v>6</v>
      </c>
      <c r="F89" s="6" t="n">
        <f aca="false">SUMPRODUCT((LEFT(Matriz!$D$1:$CV$1,3)="3.B")*(Matriz!D86:CV86&lt;&gt;""))</f>
        <v>2</v>
      </c>
      <c r="G89" s="6" t="n">
        <f aca="false">SUMPRODUCT((LEFT(Matriz!$D$1:$CV$1,3)="4.B")*(Matriz!D86:CV86&lt;&gt;""))</f>
        <v>0</v>
      </c>
      <c r="H89" s="4" t="s">
        <v>350</v>
      </c>
      <c r="I89" s="4" t="s">
        <v>351</v>
      </c>
      <c r="J89" s="4" t="s">
        <v>17</v>
      </c>
      <c r="K89" s="4" t="s">
        <v>17</v>
      </c>
    </row>
    <row r="90" customFormat="false" ht="23.85" hidden="false" customHeight="false" outlineLevel="0" collapsed="false">
      <c r="A90" s="4" t="s">
        <v>339</v>
      </c>
      <c r="B90" s="5" t="s">
        <v>352</v>
      </c>
      <c r="C90" s="4" t="s">
        <v>353</v>
      </c>
      <c r="D90" s="6" t="n">
        <f aca="false">COUNTA(Matriz!D87:CV87)</f>
        <v>6</v>
      </c>
      <c r="E90" s="6" t="n">
        <f aca="false">SUMPRODUCT((LEFT(Matriz!$D$1:$CV$1,3)="3.A")*(Matriz!D87:CV87&lt;&gt;""))</f>
        <v>5</v>
      </c>
      <c r="F90" s="6" t="n">
        <f aca="false">SUMPRODUCT((LEFT(Matriz!$D$1:$CV$1,3)="3.B")*(Matriz!D87:CV87&lt;&gt;""))</f>
        <v>0</v>
      </c>
      <c r="G90" s="6" t="n">
        <f aca="false">SUMPRODUCT((LEFT(Matriz!$D$1:$CV$1,3)="4.B")*(Matriz!D87:CV87&lt;&gt;""))</f>
        <v>1</v>
      </c>
      <c r="H90" s="4" t="s">
        <v>354</v>
      </c>
      <c r="I90" s="4" t="s">
        <v>355</v>
      </c>
      <c r="J90" s="4" t="s">
        <v>356</v>
      </c>
      <c r="K90" s="4" t="s">
        <v>17</v>
      </c>
    </row>
    <row r="91" customFormat="false" ht="35.05" hidden="false" customHeight="false" outlineLevel="0" collapsed="false">
      <c r="A91" s="4" t="s">
        <v>339</v>
      </c>
      <c r="B91" s="5" t="s">
        <v>357</v>
      </c>
      <c r="C91" s="4" t="s">
        <v>358</v>
      </c>
      <c r="D91" s="6" t="n">
        <f aca="false">COUNTA(Matriz!D88:CV88)</f>
        <v>6</v>
      </c>
      <c r="E91" s="6" t="n">
        <f aca="false">SUMPRODUCT((LEFT(Matriz!$D$1:$CV$1,3)="3.A")*(Matriz!D88:CV88&lt;&gt;""))</f>
        <v>4</v>
      </c>
      <c r="F91" s="6" t="n">
        <f aca="false">SUMPRODUCT((LEFT(Matriz!$D$1:$CV$1,3)="3.B")*(Matriz!D88:CV88&lt;&gt;""))</f>
        <v>2</v>
      </c>
      <c r="G91" s="6" t="n">
        <f aca="false">SUMPRODUCT((LEFT(Matriz!$D$1:$CV$1,3)="4.B")*(Matriz!D88:CV88&lt;&gt;""))</f>
        <v>0</v>
      </c>
      <c r="H91" s="4" t="s">
        <v>359</v>
      </c>
      <c r="I91" s="4" t="s">
        <v>360</v>
      </c>
      <c r="J91" s="4" t="s">
        <v>361</v>
      </c>
      <c r="K91" s="4" t="s">
        <v>362</v>
      </c>
    </row>
    <row r="92" customFormat="false" ht="15" hidden="false" customHeight="false" outlineLevel="0" collapsed="false">
      <c r="A92" s="4" t="s">
        <v>339</v>
      </c>
      <c r="B92" s="5" t="s">
        <v>363</v>
      </c>
      <c r="C92" s="4" t="s">
        <v>364</v>
      </c>
      <c r="D92" s="6" t="n">
        <f aca="false">COUNTA(Matriz!D89:CV89)</f>
        <v>4</v>
      </c>
      <c r="E92" s="6" t="n">
        <f aca="false">SUMPRODUCT((LEFT(Matriz!$D$1:$CV$1,3)="3.A")*(Matriz!D89:CV89&lt;&gt;""))</f>
        <v>4</v>
      </c>
      <c r="F92" s="6" t="n">
        <f aca="false">SUMPRODUCT((LEFT(Matriz!$D$1:$CV$1,3)="3.B")*(Matriz!D89:CV89&lt;&gt;""))</f>
        <v>0</v>
      </c>
      <c r="G92" s="6" t="n">
        <f aca="false">SUMPRODUCT((LEFT(Matriz!$D$1:$CV$1,3)="4.B")*(Matriz!D89:CV89&lt;&gt;""))</f>
        <v>0</v>
      </c>
      <c r="H92" s="4" t="s">
        <v>365</v>
      </c>
      <c r="I92" s="4" t="s">
        <v>17</v>
      </c>
      <c r="J92" s="4" t="s">
        <v>17</v>
      </c>
      <c r="K92" s="4" t="s">
        <v>17</v>
      </c>
    </row>
    <row r="93" customFormat="false" ht="15" hidden="false" customHeight="false" outlineLevel="0" collapsed="false">
      <c r="A93" s="4" t="s">
        <v>339</v>
      </c>
      <c r="B93" s="5" t="s">
        <v>366</v>
      </c>
      <c r="C93" s="4" t="s">
        <v>367</v>
      </c>
      <c r="D93" s="6" t="n">
        <f aca="false">COUNTA(Matriz!D90:CV90)</f>
        <v>3</v>
      </c>
      <c r="E93" s="6" t="n">
        <f aca="false">SUMPRODUCT((LEFT(Matriz!$D$1:$CV$1,3)="3.A")*(Matriz!D90:CV90&lt;&gt;""))</f>
        <v>2</v>
      </c>
      <c r="F93" s="6" t="n">
        <f aca="false">SUMPRODUCT((LEFT(Matriz!$D$1:$CV$1,3)="3.B")*(Matriz!D90:CV90&lt;&gt;""))</f>
        <v>1</v>
      </c>
      <c r="G93" s="6" t="n">
        <f aca="false">SUMPRODUCT((LEFT(Matriz!$D$1:$CV$1,3)="4.B")*(Matriz!D90:CV90&lt;&gt;""))</f>
        <v>0</v>
      </c>
      <c r="H93" s="4" t="s">
        <v>368</v>
      </c>
      <c r="I93" s="4" t="s">
        <v>369</v>
      </c>
      <c r="J93" s="4" t="s">
        <v>17</v>
      </c>
      <c r="K93" s="4" t="s">
        <v>17</v>
      </c>
    </row>
    <row r="94" customFormat="false" ht="15" hidden="false" customHeight="false" outlineLevel="0" collapsed="false">
      <c r="A94" s="4" t="s">
        <v>339</v>
      </c>
      <c r="B94" s="5" t="s">
        <v>370</v>
      </c>
      <c r="C94" s="4" t="s">
        <v>371</v>
      </c>
      <c r="D94" s="6" t="n">
        <f aca="false">COUNTA(Matriz!D91:CV91)</f>
        <v>2</v>
      </c>
      <c r="E94" s="6" t="n">
        <f aca="false">SUMPRODUCT((LEFT(Matriz!$D$1:$CV$1,3)="3.A")*(Matriz!D91:CV91&lt;&gt;""))</f>
        <v>2</v>
      </c>
      <c r="F94" s="6" t="n">
        <f aca="false">SUMPRODUCT((LEFT(Matriz!$D$1:$CV$1,3)="3.B")*(Matriz!D91:CV91&lt;&gt;""))</f>
        <v>0</v>
      </c>
      <c r="G94" s="6" t="n">
        <f aca="false">SUMPRODUCT((LEFT(Matriz!$D$1:$CV$1,3)="4.B")*(Matriz!D91:CV91&lt;&gt;""))</f>
        <v>0</v>
      </c>
      <c r="H94" s="4" t="s">
        <v>372</v>
      </c>
      <c r="I94" s="4" t="s">
        <v>17</v>
      </c>
      <c r="J94" s="4" t="s">
        <v>17</v>
      </c>
      <c r="K94" s="4" t="s">
        <v>17</v>
      </c>
    </row>
    <row r="95" customFormat="false" ht="23.85" hidden="false" customHeight="false" outlineLevel="0" collapsed="false">
      <c r="A95" s="4" t="s">
        <v>373</v>
      </c>
      <c r="B95" s="5" t="s">
        <v>374</v>
      </c>
      <c r="C95" s="4" t="s">
        <v>375</v>
      </c>
      <c r="D95" s="6" t="n">
        <f aca="false">COUNTA(Matriz!D92:CV92)</f>
        <v>3</v>
      </c>
      <c r="E95" s="6" t="n">
        <f aca="false">SUMPRODUCT((LEFT(Matriz!$D$1:$CV$1,3)="3.A")*(Matriz!D92:CV92&lt;&gt;""))</f>
        <v>0</v>
      </c>
      <c r="F95" s="6" t="n">
        <f aca="false">SUMPRODUCT((LEFT(Matriz!$D$1:$CV$1,3)="3.B")*(Matriz!D92:CV92&lt;&gt;""))</f>
        <v>3</v>
      </c>
      <c r="G95" s="6" t="n">
        <f aca="false">SUMPRODUCT((LEFT(Matriz!$D$1:$CV$1,3)="4.B")*(Matriz!D92:CV92&lt;&gt;""))</f>
        <v>0</v>
      </c>
      <c r="H95" s="4" t="s">
        <v>376</v>
      </c>
      <c r="I95" s="4" t="s">
        <v>17</v>
      </c>
      <c r="J95" s="4" t="s">
        <v>17</v>
      </c>
      <c r="K95" s="4" t="s">
        <v>17</v>
      </c>
    </row>
    <row r="96" customFormat="false" ht="15" hidden="false" customHeight="false" outlineLevel="0" collapsed="false">
      <c r="A96" s="4" t="s">
        <v>373</v>
      </c>
      <c r="B96" s="5" t="s">
        <v>377</v>
      </c>
      <c r="C96" s="4" t="s">
        <v>378</v>
      </c>
      <c r="D96" s="6" t="n">
        <f aca="false">COUNTA(Matriz!D93:CV93)</f>
        <v>5</v>
      </c>
      <c r="E96" s="6" t="n">
        <f aca="false">SUMPRODUCT((LEFT(Matriz!$D$1:$CV$1,3)="3.A")*(Matriz!D93:CV93&lt;&gt;""))</f>
        <v>0</v>
      </c>
      <c r="F96" s="6" t="n">
        <f aca="false">SUMPRODUCT((LEFT(Matriz!$D$1:$CV$1,3)="3.B")*(Matriz!D93:CV93&lt;&gt;""))</f>
        <v>5</v>
      </c>
      <c r="G96" s="6" t="n">
        <f aca="false">SUMPRODUCT((LEFT(Matriz!$D$1:$CV$1,3)="4.B")*(Matriz!D93:CV93&lt;&gt;""))</f>
        <v>0</v>
      </c>
      <c r="H96" s="4" t="s">
        <v>379</v>
      </c>
      <c r="I96" s="4" t="s">
        <v>17</v>
      </c>
      <c r="J96" s="4" t="s">
        <v>17</v>
      </c>
      <c r="K96" s="4" t="s">
        <v>17</v>
      </c>
    </row>
    <row r="97" customFormat="false" ht="15" hidden="false" customHeight="false" outlineLevel="0" collapsed="false">
      <c r="A97" s="4" t="s">
        <v>373</v>
      </c>
      <c r="B97" s="5" t="s">
        <v>380</v>
      </c>
      <c r="C97" s="4" t="s">
        <v>381</v>
      </c>
      <c r="D97" s="6" t="n">
        <f aca="false">COUNTA(Matriz!D94:CV94)</f>
        <v>3</v>
      </c>
      <c r="E97" s="6" t="n">
        <f aca="false">SUMPRODUCT((LEFT(Matriz!$D$1:$CV$1,3)="3.A")*(Matriz!D94:CV94&lt;&gt;""))</f>
        <v>2</v>
      </c>
      <c r="F97" s="6" t="n">
        <f aca="false">SUMPRODUCT((LEFT(Matriz!$D$1:$CV$1,3)="3.B")*(Matriz!D94:CV94&lt;&gt;""))</f>
        <v>1</v>
      </c>
      <c r="G97" s="6" t="n">
        <f aca="false">SUMPRODUCT((LEFT(Matriz!$D$1:$CV$1,3)="4.B")*(Matriz!D94:CV94&lt;&gt;""))</f>
        <v>0</v>
      </c>
      <c r="H97" s="4" t="s">
        <v>382</v>
      </c>
      <c r="I97" s="4" t="s">
        <v>383</v>
      </c>
      <c r="J97" s="4" t="s">
        <v>17</v>
      </c>
      <c r="K97" s="4" t="s">
        <v>17</v>
      </c>
    </row>
    <row r="98" customFormat="false" ht="23.85" hidden="false" customHeight="false" outlineLevel="0" collapsed="false">
      <c r="A98" s="4" t="s">
        <v>384</v>
      </c>
      <c r="B98" s="5" t="s">
        <v>385</v>
      </c>
      <c r="C98" s="4" t="s">
        <v>386</v>
      </c>
      <c r="D98" s="6" t="n">
        <f aca="false">COUNTA(Matriz!D95:CV95)</f>
        <v>4</v>
      </c>
      <c r="E98" s="6" t="n">
        <f aca="false">SUMPRODUCT((LEFT(Matriz!$D$1:$CV$1,3)="3.A")*(Matriz!D95:CV95&lt;&gt;""))</f>
        <v>1</v>
      </c>
      <c r="F98" s="6" t="n">
        <f aca="false">SUMPRODUCT((LEFT(Matriz!$D$1:$CV$1,3)="3.B")*(Matriz!D95:CV95&lt;&gt;""))</f>
        <v>3</v>
      </c>
      <c r="G98" s="6" t="n">
        <f aca="false">SUMPRODUCT((LEFT(Matriz!$D$1:$CV$1,3)="4.B")*(Matriz!D95:CV95&lt;&gt;""))</f>
        <v>0</v>
      </c>
      <c r="H98" s="4" t="s">
        <v>387</v>
      </c>
      <c r="I98" s="4" t="s">
        <v>388</v>
      </c>
      <c r="J98" s="4" t="s">
        <v>389</v>
      </c>
      <c r="K98" s="4" t="s">
        <v>390</v>
      </c>
    </row>
    <row r="99" customFormat="false" ht="23.85" hidden="false" customHeight="false" outlineLevel="0" collapsed="false">
      <c r="A99" s="4" t="s">
        <v>384</v>
      </c>
      <c r="B99" s="5" t="s">
        <v>391</v>
      </c>
      <c r="C99" s="4" t="s">
        <v>392</v>
      </c>
      <c r="D99" s="6" t="n">
        <f aca="false">COUNTA(Matriz!D96:CV96)</f>
        <v>3</v>
      </c>
      <c r="E99" s="6" t="n">
        <f aca="false">SUMPRODUCT((LEFT(Matriz!$D$1:$CV$1,3)="3.A")*(Matriz!D96:CV96&lt;&gt;""))</f>
        <v>1</v>
      </c>
      <c r="F99" s="6" t="n">
        <f aca="false">SUMPRODUCT((LEFT(Matriz!$D$1:$CV$1,3)="3.B")*(Matriz!D96:CV96&lt;&gt;""))</f>
        <v>2</v>
      </c>
      <c r="G99" s="6" t="n">
        <f aca="false">SUMPRODUCT((LEFT(Matriz!$D$1:$CV$1,3)="4.B")*(Matriz!D96:CV96&lt;&gt;""))</f>
        <v>0</v>
      </c>
      <c r="H99" s="4" t="s">
        <v>393</v>
      </c>
      <c r="I99" s="4" t="s">
        <v>388</v>
      </c>
      <c r="J99" s="4" t="s">
        <v>17</v>
      </c>
      <c r="K99" s="4" t="s">
        <v>17</v>
      </c>
    </row>
    <row r="100" customFormat="false" ht="23.85" hidden="false" customHeight="false" outlineLevel="0" collapsed="false">
      <c r="A100" s="4" t="s">
        <v>384</v>
      </c>
      <c r="B100" s="5" t="s">
        <v>394</v>
      </c>
      <c r="C100" s="4" t="s">
        <v>395</v>
      </c>
      <c r="D100" s="6" t="n">
        <f aca="false">COUNTA(Matriz!D97:CV97)</f>
        <v>5</v>
      </c>
      <c r="E100" s="6" t="n">
        <f aca="false">SUMPRODUCT((LEFT(Matriz!$D$1:$CV$1,3)="3.A")*(Matriz!D97:CV97&lt;&gt;""))</f>
        <v>1</v>
      </c>
      <c r="F100" s="6" t="n">
        <f aca="false">SUMPRODUCT((LEFT(Matriz!$D$1:$CV$1,3)="3.B")*(Matriz!D97:CV97&lt;&gt;""))</f>
        <v>4</v>
      </c>
      <c r="G100" s="6" t="n">
        <f aca="false">SUMPRODUCT((LEFT(Matriz!$D$1:$CV$1,3)="4.B")*(Matriz!D97:CV97&lt;&gt;""))</f>
        <v>0</v>
      </c>
      <c r="H100" s="4" t="s">
        <v>396</v>
      </c>
      <c r="I100" s="4" t="s">
        <v>388</v>
      </c>
      <c r="J100" s="4" t="s">
        <v>397</v>
      </c>
      <c r="K100" s="4" t="s">
        <v>398</v>
      </c>
    </row>
    <row r="101" customFormat="false" ht="23.85" hidden="false" customHeight="false" outlineLevel="0" collapsed="false">
      <c r="A101" s="4" t="s">
        <v>384</v>
      </c>
      <c r="B101" s="5" t="s">
        <v>399</v>
      </c>
      <c r="C101" s="4" t="s">
        <v>400</v>
      </c>
      <c r="D101" s="6" t="n">
        <f aca="false">COUNTA(Matriz!D98:CV98)</f>
        <v>6</v>
      </c>
      <c r="E101" s="6" t="n">
        <f aca="false">SUMPRODUCT((LEFT(Matriz!$D$1:$CV$1,3)="3.A")*(Matriz!D98:CV98&lt;&gt;""))</f>
        <v>0</v>
      </c>
      <c r="F101" s="6" t="n">
        <f aca="false">SUMPRODUCT((LEFT(Matriz!$D$1:$CV$1,3)="3.B")*(Matriz!D98:CV98&lt;&gt;""))</f>
        <v>6</v>
      </c>
      <c r="G101" s="6" t="n">
        <f aca="false">SUMPRODUCT((LEFT(Matriz!$D$1:$CV$1,3)="4.B")*(Matriz!D98:CV98&lt;&gt;""))</f>
        <v>0</v>
      </c>
      <c r="H101" s="4" t="s">
        <v>401</v>
      </c>
      <c r="I101" s="4" t="s">
        <v>402</v>
      </c>
      <c r="J101" s="4" t="s">
        <v>17</v>
      </c>
      <c r="K101" s="4" t="s">
        <v>17</v>
      </c>
    </row>
    <row r="102" customFormat="false" ht="23.85" hidden="false" customHeight="false" outlineLevel="0" collapsed="false">
      <c r="A102" s="4" t="s">
        <v>384</v>
      </c>
      <c r="B102" s="5" t="s">
        <v>403</v>
      </c>
      <c r="C102" s="4" t="s">
        <v>404</v>
      </c>
      <c r="D102" s="6" t="n">
        <f aca="false">COUNTA(Matriz!D99:CV99)</f>
        <v>9</v>
      </c>
      <c r="E102" s="6" t="n">
        <f aca="false">SUMPRODUCT((LEFT(Matriz!$D$1:$CV$1,3)="3.A")*(Matriz!D99:CV99&lt;&gt;""))</f>
        <v>1</v>
      </c>
      <c r="F102" s="6" t="n">
        <f aca="false">SUMPRODUCT((LEFT(Matriz!$D$1:$CV$1,3)="3.B")*(Matriz!D99:CV99&lt;&gt;""))</f>
        <v>8</v>
      </c>
      <c r="G102" s="6" t="n">
        <f aca="false">SUMPRODUCT((LEFT(Matriz!$D$1:$CV$1,3)="4.B")*(Matriz!D99:CV99&lt;&gt;""))</f>
        <v>0</v>
      </c>
      <c r="H102" s="4" t="s">
        <v>405</v>
      </c>
      <c r="I102" s="4" t="s">
        <v>406</v>
      </c>
      <c r="J102" s="4" t="s">
        <v>407</v>
      </c>
      <c r="K102" s="4" t="s">
        <v>408</v>
      </c>
    </row>
    <row r="103" customFormat="false" ht="23.85" hidden="false" customHeight="false" outlineLevel="0" collapsed="false">
      <c r="A103" s="4" t="s">
        <v>384</v>
      </c>
      <c r="B103" s="5" t="s">
        <v>409</v>
      </c>
      <c r="C103" s="4" t="s">
        <v>410</v>
      </c>
      <c r="D103" s="6" t="n">
        <f aca="false">COUNTA(Matriz!D100:CV100)</f>
        <v>7</v>
      </c>
      <c r="E103" s="6" t="n">
        <f aca="false">SUMPRODUCT((LEFT(Matriz!$D$1:$CV$1,3)="3.A")*(Matriz!D100:CV100&lt;&gt;""))</f>
        <v>1</v>
      </c>
      <c r="F103" s="6" t="n">
        <f aca="false">SUMPRODUCT((LEFT(Matriz!$D$1:$CV$1,3)="3.B")*(Matriz!D100:CV100&lt;&gt;""))</f>
        <v>6</v>
      </c>
      <c r="G103" s="6" t="n">
        <f aca="false">SUMPRODUCT((LEFT(Matriz!$D$1:$CV$1,3)="4.B")*(Matriz!D100:CV100&lt;&gt;""))</f>
        <v>0</v>
      </c>
      <c r="H103" s="4" t="s">
        <v>411</v>
      </c>
      <c r="I103" s="4" t="s">
        <v>412</v>
      </c>
      <c r="J103" s="4" t="s">
        <v>413</v>
      </c>
      <c r="K103" s="4" t="s">
        <v>17</v>
      </c>
    </row>
    <row r="104" customFormat="false" ht="23.85" hidden="false" customHeight="false" outlineLevel="0" collapsed="false">
      <c r="A104" s="4" t="s">
        <v>384</v>
      </c>
      <c r="B104" s="5" t="s">
        <v>414</v>
      </c>
      <c r="C104" s="4" t="s">
        <v>415</v>
      </c>
      <c r="D104" s="6" t="n">
        <f aca="false">COUNTA(Matriz!D101:CV101)</f>
        <v>1</v>
      </c>
      <c r="E104" s="6" t="n">
        <f aca="false">SUMPRODUCT((LEFT(Matriz!$D$1:$CV$1,3)="3.A")*(Matriz!D101:CV101&lt;&gt;""))</f>
        <v>0</v>
      </c>
      <c r="F104" s="6" t="n">
        <f aca="false">SUMPRODUCT((LEFT(Matriz!$D$1:$CV$1,3)="3.B")*(Matriz!D101:CV101&lt;&gt;""))</f>
        <v>1</v>
      </c>
      <c r="G104" s="6" t="n">
        <f aca="false">SUMPRODUCT((LEFT(Matriz!$D$1:$CV$1,3)="4.B")*(Matriz!D101:CV101&lt;&gt;""))</f>
        <v>0</v>
      </c>
      <c r="H104" s="4" t="s">
        <v>416</v>
      </c>
      <c r="I104" s="4" t="s">
        <v>17</v>
      </c>
      <c r="J104" s="4" t="s">
        <v>417</v>
      </c>
      <c r="K104" s="4" t="s">
        <v>416</v>
      </c>
    </row>
    <row r="105" customFormat="false" ht="23.85" hidden="false" customHeight="false" outlineLevel="0" collapsed="false">
      <c r="A105" s="4" t="s">
        <v>384</v>
      </c>
      <c r="B105" s="5" t="s">
        <v>418</v>
      </c>
      <c r="C105" s="4" t="s">
        <v>419</v>
      </c>
      <c r="D105" s="6" t="n">
        <f aca="false">COUNTA(Matriz!D102:CV102)</f>
        <v>1</v>
      </c>
      <c r="E105" s="6" t="n">
        <f aca="false">SUMPRODUCT((LEFT(Matriz!$D$1:$CV$1,3)="3.A")*(Matriz!D102:CV102&lt;&gt;""))</f>
        <v>0</v>
      </c>
      <c r="F105" s="6" t="n">
        <f aca="false">SUMPRODUCT((LEFT(Matriz!$D$1:$CV$1,3)="3.B")*(Matriz!D102:CV102&lt;&gt;""))</f>
        <v>1</v>
      </c>
      <c r="G105" s="6" t="n">
        <f aca="false">SUMPRODUCT((LEFT(Matriz!$D$1:$CV$1,3)="4.B")*(Matriz!D102:CV102&lt;&gt;""))</f>
        <v>0</v>
      </c>
      <c r="H105" s="4" t="s">
        <v>420</v>
      </c>
      <c r="I105" s="4" t="s">
        <v>17</v>
      </c>
      <c r="J105" s="4" t="s">
        <v>17</v>
      </c>
      <c r="K105" s="4" t="s">
        <v>17</v>
      </c>
    </row>
    <row r="106" customFormat="false" ht="23.85" hidden="false" customHeight="false" outlineLevel="0" collapsed="false">
      <c r="A106" s="4" t="s">
        <v>384</v>
      </c>
      <c r="B106" s="5" t="s">
        <v>421</v>
      </c>
      <c r="C106" s="4" t="s">
        <v>422</v>
      </c>
      <c r="D106" s="6" t="n">
        <f aca="false">COUNTA(Matriz!D103:CV103)</f>
        <v>3</v>
      </c>
      <c r="E106" s="6" t="n">
        <f aca="false">SUMPRODUCT((LEFT(Matriz!$D$1:$CV$1,3)="3.A")*(Matriz!D103:CV103&lt;&gt;""))</f>
        <v>0</v>
      </c>
      <c r="F106" s="6" t="n">
        <f aca="false">SUMPRODUCT((LEFT(Matriz!$D$1:$CV$1,3)="3.B")*(Matriz!D103:CV103&lt;&gt;""))</f>
        <v>3</v>
      </c>
      <c r="G106" s="6" t="n">
        <f aca="false">SUMPRODUCT((LEFT(Matriz!$D$1:$CV$1,3)="4.B")*(Matriz!D103:CV103&lt;&gt;""))</f>
        <v>0</v>
      </c>
      <c r="H106" s="4" t="s">
        <v>423</v>
      </c>
      <c r="I106" s="4" t="s">
        <v>17</v>
      </c>
      <c r="J106" s="4" t="s">
        <v>17</v>
      </c>
      <c r="K106" s="4" t="s">
        <v>17</v>
      </c>
    </row>
    <row r="107" customFormat="false" ht="23.85" hidden="false" customHeight="false" outlineLevel="0" collapsed="false">
      <c r="A107" s="4" t="s">
        <v>384</v>
      </c>
      <c r="B107" s="5" t="s">
        <v>424</v>
      </c>
      <c r="C107" s="4" t="s">
        <v>425</v>
      </c>
      <c r="D107" s="6" t="n">
        <f aca="false">COUNTA(Matriz!D104:CV104)</f>
        <v>6</v>
      </c>
      <c r="E107" s="6" t="n">
        <f aca="false">SUMPRODUCT((LEFT(Matriz!$D$1:$CV$1,3)="3.A")*(Matriz!D104:CV104&lt;&gt;""))</f>
        <v>1</v>
      </c>
      <c r="F107" s="6" t="n">
        <f aca="false">SUMPRODUCT((LEFT(Matriz!$D$1:$CV$1,3)="3.B")*(Matriz!D104:CV104&lt;&gt;""))</f>
        <v>5</v>
      </c>
      <c r="G107" s="6" t="n">
        <f aca="false">SUMPRODUCT((LEFT(Matriz!$D$1:$CV$1,3)="4.B")*(Matriz!D104:CV104&lt;&gt;""))</f>
        <v>0</v>
      </c>
      <c r="H107" s="4" t="s">
        <v>426</v>
      </c>
      <c r="I107" s="4" t="s">
        <v>17</v>
      </c>
      <c r="J107" s="4" t="s">
        <v>427</v>
      </c>
      <c r="K107" s="4" t="s">
        <v>17</v>
      </c>
    </row>
    <row r="108" customFormat="false" ht="23.85" hidden="false" customHeight="false" outlineLevel="0" collapsed="false">
      <c r="A108" s="4" t="s">
        <v>384</v>
      </c>
      <c r="B108" s="5" t="s">
        <v>428</v>
      </c>
      <c r="C108" s="4" t="s">
        <v>429</v>
      </c>
      <c r="D108" s="6" t="n">
        <f aca="false">COUNTA(Matriz!D105:CV105)</f>
        <v>2</v>
      </c>
      <c r="E108" s="6" t="n">
        <f aca="false">SUMPRODUCT((LEFT(Matriz!$D$1:$CV$1,3)="3.A")*(Matriz!D105:CV105&lt;&gt;""))</f>
        <v>0</v>
      </c>
      <c r="F108" s="6" t="n">
        <f aca="false">SUMPRODUCT((LEFT(Matriz!$D$1:$CV$1,3)="3.B")*(Matriz!D105:CV105&lt;&gt;""))</f>
        <v>2</v>
      </c>
      <c r="G108" s="6" t="n">
        <f aca="false">SUMPRODUCT((LEFT(Matriz!$D$1:$CV$1,3)="4.B")*(Matriz!D105:CV105&lt;&gt;""))</f>
        <v>0</v>
      </c>
      <c r="H108" s="4" t="s">
        <v>430</v>
      </c>
      <c r="I108" s="4" t="s">
        <v>17</v>
      </c>
      <c r="J108" s="4" t="s">
        <v>17</v>
      </c>
      <c r="K108" s="4" t="s">
        <v>17</v>
      </c>
    </row>
    <row r="109" customFormat="false" ht="23.85" hidden="false" customHeight="false" outlineLevel="0" collapsed="false">
      <c r="A109" s="4" t="s">
        <v>384</v>
      </c>
      <c r="B109" s="5" t="s">
        <v>431</v>
      </c>
      <c r="C109" s="4" t="s">
        <v>432</v>
      </c>
      <c r="D109" s="6" t="n">
        <f aca="false">COUNTA(Matriz!D106:CV106)</f>
        <v>1</v>
      </c>
      <c r="E109" s="6" t="n">
        <f aca="false">SUMPRODUCT((LEFT(Matriz!$D$1:$CV$1,3)="3.A")*(Matriz!D106:CV106&lt;&gt;""))</f>
        <v>1</v>
      </c>
      <c r="F109" s="6" t="n">
        <f aca="false">SUMPRODUCT((LEFT(Matriz!$D$1:$CV$1,3)="3.B")*(Matriz!D106:CV106&lt;&gt;""))</f>
        <v>0</v>
      </c>
      <c r="G109" s="6" t="n">
        <f aca="false">SUMPRODUCT((LEFT(Matriz!$D$1:$CV$1,3)="4.B")*(Matriz!D106:CV106&lt;&gt;""))</f>
        <v>0</v>
      </c>
      <c r="H109" s="4" t="s">
        <v>76</v>
      </c>
      <c r="I109" s="4" t="s">
        <v>17</v>
      </c>
      <c r="J109" s="4" t="s">
        <v>17</v>
      </c>
      <c r="K109" s="4" t="s">
        <v>17</v>
      </c>
    </row>
    <row r="110" customFormat="false" ht="23.85" hidden="false" customHeight="false" outlineLevel="0" collapsed="false">
      <c r="A110" s="4" t="s">
        <v>433</v>
      </c>
      <c r="B110" s="5" t="s">
        <v>434</v>
      </c>
      <c r="C110" s="4" t="s">
        <v>435</v>
      </c>
      <c r="D110" s="6" t="n">
        <f aca="false">COUNTA(Matriz!D107:CV107)</f>
        <v>3</v>
      </c>
      <c r="E110" s="6" t="n">
        <f aca="false">SUMPRODUCT((LEFT(Matriz!$D$1:$CV$1,3)="3.A")*(Matriz!D107:CV107&lt;&gt;""))</f>
        <v>2</v>
      </c>
      <c r="F110" s="6" t="n">
        <f aca="false">SUMPRODUCT((LEFT(Matriz!$D$1:$CV$1,3)="3.B")*(Matriz!D107:CV107&lt;&gt;""))</f>
        <v>1</v>
      </c>
      <c r="G110" s="6" t="n">
        <f aca="false">SUMPRODUCT((LEFT(Matriz!$D$1:$CV$1,3)="4.B")*(Matriz!D107:CV107&lt;&gt;""))</f>
        <v>0</v>
      </c>
      <c r="H110" s="4" t="s">
        <v>436</v>
      </c>
      <c r="I110" s="4" t="s">
        <v>17</v>
      </c>
      <c r="J110" s="4" t="s">
        <v>17</v>
      </c>
      <c r="K110" s="4" t="s">
        <v>17</v>
      </c>
    </row>
    <row r="111" customFormat="false" ht="23.85" hidden="false" customHeight="false" outlineLevel="0" collapsed="false">
      <c r="A111" s="4" t="s">
        <v>433</v>
      </c>
      <c r="B111" s="5" t="s">
        <v>437</v>
      </c>
      <c r="C111" s="4" t="s">
        <v>438</v>
      </c>
      <c r="D111" s="6" t="n">
        <f aca="false">COUNTA(Matriz!D108:CV108)</f>
        <v>3</v>
      </c>
      <c r="E111" s="6" t="n">
        <f aca="false">SUMPRODUCT((LEFT(Matriz!$D$1:$CV$1,3)="3.A")*(Matriz!D108:CV108&lt;&gt;""))</f>
        <v>2</v>
      </c>
      <c r="F111" s="6" t="n">
        <f aca="false">SUMPRODUCT((LEFT(Matriz!$D$1:$CV$1,3)="3.B")*(Matriz!D108:CV108&lt;&gt;""))</f>
        <v>1</v>
      </c>
      <c r="G111" s="6" t="n">
        <f aca="false">SUMPRODUCT((LEFT(Matriz!$D$1:$CV$1,3)="4.B")*(Matriz!D108:CV108&lt;&gt;""))</f>
        <v>0</v>
      </c>
      <c r="H111" s="4" t="s">
        <v>439</v>
      </c>
      <c r="I111" s="4" t="s">
        <v>235</v>
      </c>
      <c r="J111" s="4" t="s">
        <v>17</v>
      </c>
      <c r="K111" s="4" t="s">
        <v>17</v>
      </c>
    </row>
    <row r="112" customFormat="false" ht="23.85" hidden="false" customHeight="false" outlineLevel="0" collapsed="false">
      <c r="A112" s="4" t="s">
        <v>433</v>
      </c>
      <c r="B112" s="5" t="s">
        <v>440</v>
      </c>
      <c r="C112" s="4" t="s">
        <v>441</v>
      </c>
      <c r="D112" s="6" t="n">
        <f aca="false">COUNTA(Matriz!D109:CV109)</f>
        <v>1</v>
      </c>
      <c r="E112" s="6" t="n">
        <f aca="false">SUMPRODUCT((LEFT(Matriz!$D$1:$CV$1,3)="3.A")*(Matriz!D109:CV109&lt;&gt;""))</f>
        <v>0</v>
      </c>
      <c r="F112" s="6" t="n">
        <f aca="false">SUMPRODUCT((LEFT(Matriz!$D$1:$CV$1,3)="3.B")*(Matriz!D109:CV109&lt;&gt;""))</f>
        <v>1</v>
      </c>
      <c r="G112" s="6" t="n">
        <f aca="false">SUMPRODUCT((LEFT(Matriz!$D$1:$CV$1,3)="4.B")*(Matriz!D109:CV109&lt;&gt;""))</f>
        <v>0</v>
      </c>
      <c r="H112" s="4" t="s">
        <v>442</v>
      </c>
      <c r="I112" s="4" t="s">
        <v>17</v>
      </c>
      <c r="J112" s="4" t="s">
        <v>17</v>
      </c>
      <c r="K112" s="4" t="s">
        <v>17</v>
      </c>
    </row>
    <row r="113" customFormat="false" ht="23.85" hidden="false" customHeight="false" outlineLevel="0" collapsed="false">
      <c r="A113" s="4" t="s">
        <v>433</v>
      </c>
      <c r="B113" s="5" t="s">
        <v>443</v>
      </c>
      <c r="C113" s="4" t="s">
        <v>444</v>
      </c>
      <c r="D113" s="6" t="n">
        <f aca="false">COUNTA(Matriz!D110:CV110)</f>
        <v>9</v>
      </c>
      <c r="E113" s="6" t="n">
        <f aca="false">SUMPRODUCT((LEFT(Matriz!$D$1:$CV$1,3)="3.A")*(Matriz!D110:CV110&lt;&gt;""))</f>
        <v>4</v>
      </c>
      <c r="F113" s="6" t="n">
        <f aca="false">SUMPRODUCT((LEFT(Matriz!$D$1:$CV$1,3)="3.B")*(Matriz!D110:CV110&lt;&gt;""))</f>
        <v>4</v>
      </c>
      <c r="G113" s="6" t="n">
        <f aca="false">SUMPRODUCT((LEFT(Matriz!$D$1:$CV$1,3)="4.B")*(Matriz!D110:CV110&lt;&gt;""))</f>
        <v>1</v>
      </c>
      <c r="H113" s="4" t="s">
        <v>445</v>
      </c>
      <c r="I113" s="4" t="s">
        <v>446</v>
      </c>
      <c r="J113" s="4" t="s">
        <v>447</v>
      </c>
      <c r="K113" s="4" t="s">
        <v>17</v>
      </c>
    </row>
    <row r="114" customFormat="false" ht="35.05" hidden="false" customHeight="false" outlineLevel="0" collapsed="false">
      <c r="A114" s="4" t="s">
        <v>433</v>
      </c>
      <c r="B114" s="5" t="s">
        <v>448</v>
      </c>
      <c r="C114" s="4" t="s">
        <v>449</v>
      </c>
      <c r="D114" s="6" t="n">
        <f aca="false">COUNTA(Matriz!D111:CV111)</f>
        <v>12</v>
      </c>
      <c r="E114" s="6" t="n">
        <f aca="false">SUMPRODUCT((LEFT(Matriz!$D$1:$CV$1,3)="3.A")*(Matriz!D111:CV111&lt;&gt;""))</f>
        <v>5</v>
      </c>
      <c r="F114" s="6" t="n">
        <f aca="false">SUMPRODUCT((LEFT(Matriz!$D$1:$CV$1,3)="3.B")*(Matriz!D111:CV111&lt;&gt;""))</f>
        <v>6</v>
      </c>
      <c r="G114" s="6" t="n">
        <f aca="false">SUMPRODUCT((LEFT(Matriz!$D$1:$CV$1,3)="4.B")*(Matriz!D111:CV111&lt;&gt;""))</f>
        <v>1</v>
      </c>
      <c r="H114" s="4" t="s">
        <v>450</v>
      </c>
      <c r="I114" s="4" t="s">
        <v>451</v>
      </c>
      <c r="J114" s="4" t="s">
        <v>452</v>
      </c>
      <c r="K114" s="4" t="s">
        <v>453</v>
      </c>
    </row>
    <row r="115" customFormat="false" ht="23.85" hidden="false" customHeight="false" outlineLevel="0" collapsed="false">
      <c r="A115" s="4" t="s">
        <v>433</v>
      </c>
      <c r="B115" s="5" t="s">
        <v>454</v>
      </c>
      <c r="C115" s="4" t="s">
        <v>455</v>
      </c>
      <c r="D115" s="6" t="n">
        <f aca="false">COUNTA(Matriz!D112:CV112)</f>
        <v>5</v>
      </c>
      <c r="E115" s="6" t="n">
        <f aca="false">SUMPRODUCT((LEFT(Matriz!$D$1:$CV$1,3)="3.A")*(Matriz!D112:CV112&lt;&gt;""))</f>
        <v>0</v>
      </c>
      <c r="F115" s="6" t="n">
        <f aca="false">SUMPRODUCT((LEFT(Matriz!$D$1:$CV$1,3)="3.B")*(Matriz!D112:CV112&lt;&gt;""))</f>
        <v>5</v>
      </c>
      <c r="G115" s="6" t="n">
        <f aca="false">SUMPRODUCT((LEFT(Matriz!$D$1:$CV$1,3)="4.B")*(Matriz!D112:CV112&lt;&gt;""))</f>
        <v>0</v>
      </c>
      <c r="H115" s="4" t="s">
        <v>456</v>
      </c>
      <c r="I115" s="4" t="s">
        <v>457</v>
      </c>
      <c r="J115" s="4" t="s">
        <v>458</v>
      </c>
      <c r="K115" s="4" t="s">
        <v>17</v>
      </c>
    </row>
    <row r="116" customFormat="false" ht="23.85" hidden="false" customHeight="false" outlineLevel="0" collapsed="false">
      <c r="A116" s="4" t="s">
        <v>433</v>
      </c>
      <c r="B116" s="5" t="s">
        <v>459</v>
      </c>
      <c r="C116" s="4" t="s">
        <v>460</v>
      </c>
      <c r="D116" s="6" t="n">
        <f aca="false">COUNTA(Matriz!D113:CV113)</f>
        <v>2</v>
      </c>
      <c r="E116" s="6" t="n">
        <f aca="false">SUMPRODUCT((LEFT(Matriz!$D$1:$CV$1,3)="3.A")*(Matriz!D113:CV113&lt;&gt;""))</f>
        <v>0</v>
      </c>
      <c r="F116" s="6" t="n">
        <f aca="false">SUMPRODUCT((LEFT(Matriz!$D$1:$CV$1,3)="3.B")*(Matriz!D113:CV113&lt;&gt;""))</f>
        <v>2</v>
      </c>
      <c r="G116" s="6" t="n">
        <f aca="false">SUMPRODUCT((LEFT(Matriz!$D$1:$CV$1,3)="4.B")*(Matriz!D113:CV113&lt;&gt;""))</f>
        <v>0</v>
      </c>
      <c r="H116" s="4" t="s">
        <v>461</v>
      </c>
      <c r="I116" s="4" t="s">
        <v>451</v>
      </c>
      <c r="J116" s="4" t="s">
        <v>17</v>
      </c>
      <c r="K116" s="4" t="s">
        <v>17</v>
      </c>
    </row>
    <row r="117" customFormat="false" ht="23.85" hidden="false" customHeight="false" outlineLevel="0" collapsed="false">
      <c r="A117" s="4" t="s">
        <v>433</v>
      </c>
      <c r="B117" s="5" t="s">
        <v>462</v>
      </c>
      <c r="C117" s="4" t="s">
        <v>463</v>
      </c>
      <c r="D117" s="6" t="n">
        <f aca="false">COUNTA(Matriz!D114:CV114)</f>
        <v>11</v>
      </c>
      <c r="E117" s="6" t="n">
        <f aca="false">SUMPRODUCT((LEFT(Matriz!$D$1:$CV$1,3)="3.A")*(Matriz!D114:CV114&lt;&gt;""))</f>
        <v>3</v>
      </c>
      <c r="F117" s="6" t="n">
        <f aca="false">SUMPRODUCT((LEFT(Matriz!$D$1:$CV$1,3)="3.B")*(Matriz!D114:CV114&lt;&gt;""))</f>
        <v>7</v>
      </c>
      <c r="G117" s="6" t="n">
        <f aca="false">SUMPRODUCT((LEFT(Matriz!$D$1:$CV$1,3)="4.B")*(Matriz!D114:CV114&lt;&gt;""))</f>
        <v>1</v>
      </c>
      <c r="H117" s="4" t="s">
        <v>464</v>
      </c>
      <c r="I117" s="4" t="s">
        <v>465</v>
      </c>
      <c r="J117" s="4" t="s">
        <v>466</v>
      </c>
      <c r="K117" s="4" t="s">
        <v>467</v>
      </c>
    </row>
    <row r="118" customFormat="false" ht="23.85" hidden="false" customHeight="false" outlineLevel="0" collapsed="false">
      <c r="A118" s="4" t="s">
        <v>433</v>
      </c>
      <c r="B118" s="5" t="s">
        <v>468</v>
      </c>
      <c r="C118" s="4" t="s">
        <v>422</v>
      </c>
      <c r="D118" s="6" t="n">
        <f aca="false">COUNTA(Matriz!D115:CV115)</f>
        <v>1</v>
      </c>
      <c r="E118" s="6" t="n">
        <f aca="false">SUMPRODUCT((LEFT(Matriz!$D$1:$CV$1,3)="3.A")*(Matriz!D115:CV115&lt;&gt;""))</f>
        <v>0</v>
      </c>
      <c r="F118" s="6" t="n">
        <f aca="false">SUMPRODUCT((LEFT(Matriz!$D$1:$CV$1,3)="3.B")*(Matriz!D115:CV115&lt;&gt;""))</f>
        <v>1</v>
      </c>
      <c r="G118" s="6" t="n">
        <f aca="false">SUMPRODUCT((LEFT(Matriz!$D$1:$CV$1,3)="4.B")*(Matriz!D115:CV115&lt;&gt;""))</f>
        <v>0</v>
      </c>
      <c r="H118" s="4" t="s">
        <v>469</v>
      </c>
      <c r="I118" s="4" t="s">
        <v>17</v>
      </c>
      <c r="J118" s="4" t="s">
        <v>17</v>
      </c>
      <c r="K118" s="4" t="s">
        <v>17</v>
      </c>
    </row>
    <row r="119" customFormat="false" ht="23.85" hidden="false" customHeight="false" outlineLevel="0" collapsed="false">
      <c r="A119" s="4" t="s">
        <v>433</v>
      </c>
      <c r="B119" s="5" t="s">
        <v>470</v>
      </c>
      <c r="C119" s="4" t="s">
        <v>471</v>
      </c>
      <c r="D119" s="6" t="n">
        <f aca="false">COUNTA(Matriz!D116:CV116)</f>
        <v>6</v>
      </c>
      <c r="E119" s="6" t="n">
        <f aca="false">SUMPRODUCT((LEFT(Matriz!$D$1:$CV$1,3)="3.A")*(Matriz!D116:CV116&lt;&gt;""))</f>
        <v>0</v>
      </c>
      <c r="F119" s="6" t="n">
        <f aca="false">SUMPRODUCT((LEFT(Matriz!$D$1:$CV$1,3)="3.B")*(Matriz!D116:CV116&lt;&gt;""))</f>
        <v>5</v>
      </c>
      <c r="G119" s="6" t="n">
        <f aca="false">SUMPRODUCT((LEFT(Matriz!$D$1:$CV$1,3)="4.B")*(Matriz!D116:CV116&lt;&gt;""))</f>
        <v>1</v>
      </c>
      <c r="H119" s="4" t="s">
        <v>472</v>
      </c>
      <c r="I119" s="4" t="s">
        <v>473</v>
      </c>
      <c r="J119" s="4" t="s">
        <v>474</v>
      </c>
      <c r="K119" s="4" t="s">
        <v>17</v>
      </c>
    </row>
    <row r="120" customFormat="false" ht="23.85" hidden="false" customHeight="false" outlineLevel="0" collapsed="false">
      <c r="A120" s="4" t="s">
        <v>433</v>
      </c>
      <c r="B120" s="5" t="s">
        <v>475</v>
      </c>
      <c r="C120" s="4" t="s">
        <v>476</v>
      </c>
      <c r="D120" s="6" t="n">
        <f aca="false">COUNTA(Matriz!D117:CV117)</f>
        <v>1</v>
      </c>
      <c r="E120" s="6" t="n">
        <f aca="false">SUMPRODUCT((LEFT(Matriz!$D$1:$CV$1,3)="3.A")*(Matriz!D117:CV117&lt;&gt;""))</f>
        <v>0</v>
      </c>
      <c r="F120" s="6" t="n">
        <f aca="false">SUMPRODUCT((LEFT(Matriz!$D$1:$CV$1,3)="3.B")*(Matriz!D117:CV117&lt;&gt;""))</f>
        <v>1</v>
      </c>
      <c r="G120" s="6" t="n">
        <f aca="false">SUMPRODUCT((LEFT(Matriz!$D$1:$CV$1,3)="4.B")*(Matriz!D117:CV117&lt;&gt;""))</f>
        <v>0</v>
      </c>
      <c r="H120" s="4" t="s">
        <v>477</v>
      </c>
      <c r="I120" s="4" t="s">
        <v>17</v>
      </c>
      <c r="J120" s="4" t="s">
        <v>17</v>
      </c>
      <c r="K120" s="4" t="s">
        <v>17</v>
      </c>
    </row>
    <row r="121" customFormat="false" ht="23.85" hidden="false" customHeight="false" outlineLevel="0" collapsed="false">
      <c r="A121" s="4" t="s">
        <v>433</v>
      </c>
      <c r="B121" s="5" t="s">
        <v>478</v>
      </c>
      <c r="C121" s="4" t="s">
        <v>479</v>
      </c>
      <c r="D121" s="6" t="n">
        <f aca="false">COUNTA(Matriz!D118:CV118)</f>
        <v>7</v>
      </c>
      <c r="E121" s="6" t="n">
        <f aca="false">SUMPRODUCT((LEFT(Matriz!$D$1:$CV$1,3)="3.A")*(Matriz!D118:CV118&lt;&gt;""))</f>
        <v>0</v>
      </c>
      <c r="F121" s="6" t="n">
        <f aca="false">SUMPRODUCT((LEFT(Matriz!$D$1:$CV$1,3)="3.B")*(Matriz!D118:CV118&lt;&gt;""))</f>
        <v>7</v>
      </c>
      <c r="G121" s="6" t="n">
        <f aca="false">SUMPRODUCT((LEFT(Matriz!$D$1:$CV$1,3)="4.B")*(Matriz!D118:CV118&lt;&gt;""))</f>
        <v>0</v>
      </c>
      <c r="H121" s="4" t="s">
        <v>480</v>
      </c>
      <c r="I121" s="4" t="s">
        <v>481</v>
      </c>
      <c r="J121" s="4" t="s">
        <v>17</v>
      </c>
      <c r="K121" s="4" t="s">
        <v>17</v>
      </c>
    </row>
    <row r="122" customFormat="false" ht="23.85" hidden="false" customHeight="false" outlineLevel="0" collapsed="false">
      <c r="A122" s="4" t="s">
        <v>433</v>
      </c>
      <c r="B122" s="5" t="s">
        <v>482</v>
      </c>
      <c r="C122" s="4" t="s">
        <v>483</v>
      </c>
      <c r="D122" s="6" t="n">
        <f aca="false">COUNTA(Matriz!D119:CV119)</f>
        <v>3</v>
      </c>
      <c r="E122" s="6" t="n">
        <f aca="false">SUMPRODUCT((LEFT(Matriz!$D$1:$CV$1,3)="3.A")*(Matriz!D119:CV119&lt;&gt;""))</f>
        <v>0</v>
      </c>
      <c r="F122" s="6" t="n">
        <f aca="false">SUMPRODUCT((LEFT(Matriz!$D$1:$CV$1,3)="3.B")*(Matriz!D119:CV119&lt;&gt;""))</f>
        <v>3</v>
      </c>
      <c r="G122" s="6" t="n">
        <f aca="false">SUMPRODUCT((LEFT(Matriz!$D$1:$CV$1,3)="4.B")*(Matriz!D119:CV119&lt;&gt;""))</f>
        <v>0</v>
      </c>
      <c r="H122" s="4" t="s">
        <v>484</v>
      </c>
      <c r="I122" s="4" t="s">
        <v>469</v>
      </c>
      <c r="J122" s="4" t="s">
        <v>17</v>
      </c>
      <c r="K122" s="4" t="s">
        <v>17</v>
      </c>
    </row>
    <row r="123" customFormat="false" ht="23.85" hidden="false" customHeight="false" outlineLevel="0" collapsed="false">
      <c r="A123" s="4" t="s">
        <v>433</v>
      </c>
      <c r="B123" s="5" t="s">
        <v>485</v>
      </c>
      <c r="C123" s="4" t="s">
        <v>486</v>
      </c>
      <c r="D123" s="6" t="n">
        <f aca="false">COUNTA(Matriz!D120:CV120)</f>
        <v>2</v>
      </c>
      <c r="E123" s="6" t="n">
        <f aca="false">SUMPRODUCT((LEFT(Matriz!$D$1:$CV$1,3)="3.A")*(Matriz!D120:CV120&lt;&gt;""))</f>
        <v>0</v>
      </c>
      <c r="F123" s="6" t="n">
        <f aca="false">SUMPRODUCT((LEFT(Matriz!$D$1:$CV$1,3)="3.B")*(Matriz!D120:CV120&lt;&gt;""))</f>
        <v>2</v>
      </c>
      <c r="G123" s="6" t="n">
        <f aca="false">SUMPRODUCT((LEFT(Matriz!$D$1:$CV$1,3)="4.B")*(Matriz!D120:CV120&lt;&gt;""))</f>
        <v>0</v>
      </c>
      <c r="H123" s="4" t="s">
        <v>481</v>
      </c>
      <c r="I123" s="4" t="s">
        <v>469</v>
      </c>
      <c r="J123" s="4" t="s">
        <v>17</v>
      </c>
      <c r="K123" s="4" t="s">
        <v>17</v>
      </c>
    </row>
    <row r="124" customFormat="false" ht="15" hidden="false" customHeight="false" outlineLevel="0" collapsed="false">
      <c r="A124" s="4" t="s">
        <v>487</v>
      </c>
      <c r="B124" s="5" t="s">
        <v>488</v>
      </c>
      <c r="C124" s="4" t="s">
        <v>489</v>
      </c>
      <c r="D124" s="6" t="n">
        <f aca="false">COUNTA(Matriz!D121:CV121)</f>
        <v>4</v>
      </c>
      <c r="E124" s="6" t="n">
        <f aca="false">SUMPRODUCT((LEFT(Matriz!$D$1:$CV$1,3)="3.A")*(Matriz!D121:CV121&lt;&gt;""))</f>
        <v>2</v>
      </c>
      <c r="F124" s="6" t="n">
        <f aca="false">SUMPRODUCT((LEFT(Matriz!$D$1:$CV$1,3)="3.B")*(Matriz!D121:CV121&lt;&gt;""))</f>
        <v>2</v>
      </c>
      <c r="G124" s="6" t="n">
        <f aca="false">SUMPRODUCT((LEFT(Matriz!$D$1:$CV$1,3)="4.B")*(Matriz!D121:CV121&lt;&gt;""))</f>
        <v>0</v>
      </c>
      <c r="H124" s="4" t="s">
        <v>490</v>
      </c>
      <c r="I124" s="4" t="s">
        <v>491</v>
      </c>
      <c r="J124" s="4" t="s">
        <v>17</v>
      </c>
      <c r="K124" s="4" t="s">
        <v>17</v>
      </c>
    </row>
    <row r="125" customFormat="false" ht="23.85" hidden="false" customHeight="false" outlineLevel="0" collapsed="false">
      <c r="A125" s="4" t="s">
        <v>487</v>
      </c>
      <c r="B125" s="5" t="s">
        <v>492</v>
      </c>
      <c r="C125" s="4" t="s">
        <v>493</v>
      </c>
      <c r="D125" s="6" t="n">
        <f aca="false">COUNTA(Matriz!D122:CV122)</f>
        <v>6</v>
      </c>
      <c r="E125" s="6" t="n">
        <f aca="false">SUMPRODUCT((LEFT(Matriz!$D$1:$CV$1,3)="3.A")*(Matriz!D122:CV122&lt;&gt;""))</f>
        <v>1</v>
      </c>
      <c r="F125" s="6" t="n">
        <f aca="false">SUMPRODUCT((LEFT(Matriz!$D$1:$CV$1,3)="3.B")*(Matriz!D122:CV122&lt;&gt;""))</f>
        <v>5</v>
      </c>
      <c r="G125" s="6" t="n">
        <f aca="false">SUMPRODUCT((LEFT(Matriz!$D$1:$CV$1,3)="4.B")*(Matriz!D122:CV122&lt;&gt;""))</f>
        <v>0</v>
      </c>
      <c r="H125" s="4" t="s">
        <v>494</v>
      </c>
      <c r="I125" s="4" t="s">
        <v>495</v>
      </c>
      <c r="J125" s="4" t="s">
        <v>17</v>
      </c>
      <c r="K125" s="4" t="s">
        <v>17</v>
      </c>
    </row>
    <row r="126" customFormat="false" ht="15" hidden="false" customHeight="false" outlineLevel="0" collapsed="false">
      <c r="A126" s="4" t="s">
        <v>487</v>
      </c>
      <c r="B126" s="5" t="s">
        <v>496</v>
      </c>
      <c r="C126" s="4" t="s">
        <v>497</v>
      </c>
      <c r="D126" s="6" t="n">
        <f aca="false">COUNTA(Matriz!D123:CV123)</f>
        <v>4</v>
      </c>
      <c r="E126" s="6" t="n">
        <f aca="false">SUMPRODUCT((LEFT(Matriz!$D$1:$CV$1,3)="3.A")*(Matriz!D123:CV123&lt;&gt;""))</f>
        <v>0</v>
      </c>
      <c r="F126" s="6" t="n">
        <f aca="false">SUMPRODUCT((LEFT(Matriz!$D$1:$CV$1,3)="3.B")*(Matriz!D123:CV123&lt;&gt;""))</f>
        <v>4</v>
      </c>
      <c r="G126" s="6" t="n">
        <f aca="false">SUMPRODUCT((LEFT(Matriz!$D$1:$CV$1,3)="4.B")*(Matriz!D123:CV123&lt;&gt;""))</f>
        <v>0</v>
      </c>
      <c r="H126" s="4" t="s">
        <v>498</v>
      </c>
      <c r="I126" s="4" t="s">
        <v>499</v>
      </c>
      <c r="J126" s="4" t="s">
        <v>500</v>
      </c>
      <c r="K126" s="4" t="s">
        <v>17</v>
      </c>
    </row>
    <row r="127" customFormat="false" ht="23.85" hidden="false" customHeight="false" outlineLevel="0" collapsed="false">
      <c r="A127" s="4" t="s">
        <v>487</v>
      </c>
      <c r="B127" s="5" t="s">
        <v>501</v>
      </c>
      <c r="C127" s="4" t="s">
        <v>502</v>
      </c>
      <c r="D127" s="6" t="n">
        <f aca="false">COUNTA(Matriz!D124:CV124)</f>
        <v>4</v>
      </c>
      <c r="E127" s="6" t="n">
        <f aca="false">SUMPRODUCT((LEFT(Matriz!$D$1:$CV$1,3)="3.A")*(Matriz!D124:CV124&lt;&gt;""))</f>
        <v>0</v>
      </c>
      <c r="F127" s="6" t="n">
        <f aca="false">SUMPRODUCT((LEFT(Matriz!$D$1:$CV$1,3)="3.B")*(Matriz!D124:CV124&lt;&gt;""))</f>
        <v>4</v>
      </c>
      <c r="G127" s="6" t="n">
        <f aca="false">SUMPRODUCT((LEFT(Matriz!$D$1:$CV$1,3)="4.B")*(Matriz!D124:CV124&lt;&gt;""))</f>
        <v>0</v>
      </c>
      <c r="H127" s="4" t="s">
        <v>503</v>
      </c>
      <c r="I127" s="4" t="s">
        <v>504</v>
      </c>
      <c r="J127" s="4" t="s">
        <v>505</v>
      </c>
      <c r="K127" s="4" t="s">
        <v>17</v>
      </c>
    </row>
    <row r="128" customFormat="false" ht="15" hidden="false" customHeight="false" outlineLevel="0" collapsed="false">
      <c r="A128" s="4" t="s">
        <v>487</v>
      </c>
      <c r="B128" s="5" t="s">
        <v>506</v>
      </c>
      <c r="C128" s="4" t="s">
        <v>507</v>
      </c>
      <c r="D128" s="6" t="n">
        <f aca="false">COUNTA(Matriz!D125:CV125)</f>
        <v>1</v>
      </c>
      <c r="E128" s="6" t="n">
        <f aca="false">SUMPRODUCT((LEFT(Matriz!$D$1:$CV$1,3)="3.A")*(Matriz!D125:CV125&lt;&gt;""))</f>
        <v>0</v>
      </c>
      <c r="F128" s="6" t="n">
        <f aca="false">SUMPRODUCT((LEFT(Matriz!$D$1:$CV$1,3)="3.B")*(Matriz!D125:CV125&lt;&gt;""))</f>
        <v>1</v>
      </c>
      <c r="G128" s="6" t="n">
        <f aca="false">SUMPRODUCT((LEFT(Matriz!$D$1:$CV$1,3)="4.B")*(Matriz!D125:CV125&lt;&gt;""))</f>
        <v>0</v>
      </c>
      <c r="H128" s="4" t="s">
        <v>508</v>
      </c>
      <c r="I128" s="4" t="s">
        <v>17</v>
      </c>
      <c r="J128" s="4" t="s">
        <v>17</v>
      </c>
      <c r="K128" s="4" t="s">
        <v>17</v>
      </c>
    </row>
    <row r="129" customFormat="false" ht="23.85" hidden="false" customHeight="false" outlineLevel="0" collapsed="false">
      <c r="A129" s="4" t="s">
        <v>487</v>
      </c>
      <c r="B129" s="5" t="s">
        <v>509</v>
      </c>
      <c r="C129" s="4" t="s">
        <v>510</v>
      </c>
      <c r="D129" s="6" t="n">
        <f aca="false">COUNTA(Matriz!D126:CV126)</f>
        <v>3</v>
      </c>
      <c r="E129" s="6" t="n">
        <f aca="false">SUMPRODUCT((LEFT(Matriz!$D$1:$CV$1,3)="3.A")*(Matriz!D126:CV126&lt;&gt;""))</f>
        <v>0</v>
      </c>
      <c r="F129" s="6" t="n">
        <f aca="false">SUMPRODUCT((LEFT(Matriz!$D$1:$CV$1,3)="3.B")*(Matriz!D126:CV126&lt;&gt;""))</f>
        <v>3</v>
      </c>
      <c r="G129" s="6" t="n">
        <f aca="false">SUMPRODUCT((LEFT(Matriz!$D$1:$CV$1,3)="4.B")*(Matriz!D126:CV126&lt;&gt;""))</f>
        <v>0</v>
      </c>
      <c r="H129" s="4" t="s">
        <v>511</v>
      </c>
      <c r="I129" s="4" t="s">
        <v>17</v>
      </c>
      <c r="J129" s="4" t="s">
        <v>512</v>
      </c>
      <c r="K129" s="4" t="s">
        <v>499</v>
      </c>
    </row>
    <row r="130" customFormat="false" ht="15" hidden="false" customHeight="false" outlineLevel="0" collapsed="false">
      <c r="A130" s="4" t="s">
        <v>487</v>
      </c>
      <c r="B130" s="5" t="s">
        <v>513</v>
      </c>
      <c r="C130" s="4" t="s">
        <v>514</v>
      </c>
      <c r="D130" s="6" t="n">
        <f aca="false">COUNTA(Matriz!D127:CV127)</f>
        <v>7</v>
      </c>
      <c r="E130" s="6" t="n">
        <f aca="false">SUMPRODUCT((LEFT(Matriz!$D$1:$CV$1,3)="3.A")*(Matriz!D127:CV127&lt;&gt;""))</f>
        <v>3</v>
      </c>
      <c r="F130" s="6" t="n">
        <f aca="false">SUMPRODUCT((LEFT(Matriz!$D$1:$CV$1,3)="3.B")*(Matriz!D127:CV127&lt;&gt;""))</f>
        <v>4</v>
      </c>
      <c r="G130" s="6" t="n">
        <f aca="false">SUMPRODUCT((LEFT(Matriz!$D$1:$CV$1,3)="4.B")*(Matriz!D127:CV127&lt;&gt;""))</f>
        <v>0</v>
      </c>
      <c r="H130" s="4" t="s">
        <v>515</v>
      </c>
      <c r="I130" s="4" t="s">
        <v>268</v>
      </c>
      <c r="J130" s="4" t="s">
        <v>516</v>
      </c>
      <c r="K130" s="4" t="s">
        <v>17</v>
      </c>
    </row>
    <row r="131" customFormat="false" ht="15" hidden="false" customHeight="false" outlineLevel="0" collapsed="false">
      <c r="A131" s="4" t="s">
        <v>487</v>
      </c>
      <c r="B131" s="5" t="s">
        <v>517</v>
      </c>
      <c r="C131" s="4" t="s">
        <v>518</v>
      </c>
      <c r="D131" s="6" t="n">
        <f aca="false">COUNTA(Matriz!D128:CV128)</f>
        <v>2</v>
      </c>
      <c r="E131" s="6" t="n">
        <f aca="false">SUMPRODUCT((LEFT(Matriz!$D$1:$CV$1,3)="3.A")*(Matriz!D128:CV128&lt;&gt;""))</f>
        <v>1</v>
      </c>
      <c r="F131" s="6" t="n">
        <f aca="false">SUMPRODUCT((LEFT(Matriz!$D$1:$CV$1,3)="3.B")*(Matriz!D128:CV128&lt;&gt;""))</f>
        <v>1</v>
      </c>
      <c r="G131" s="6" t="n">
        <f aca="false">SUMPRODUCT((LEFT(Matriz!$D$1:$CV$1,3)="4.B")*(Matriz!D128:CV128&lt;&gt;""))</f>
        <v>0</v>
      </c>
      <c r="H131" s="4" t="s">
        <v>519</v>
      </c>
      <c r="I131" s="4" t="s">
        <v>227</v>
      </c>
      <c r="J131" s="4" t="s">
        <v>17</v>
      </c>
      <c r="K131" s="4" t="s">
        <v>17</v>
      </c>
    </row>
    <row r="132" customFormat="false" ht="23.85" hidden="false" customHeight="false" outlineLevel="0" collapsed="false">
      <c r="A132" s="4" t="s">
        <v>487</v>
      </c>
      <c r="B132" s="5" t="s">
        <v>520</v>
      </c>
      <c r="C132" s="4" t="s">
        <v>521</v>
      </c>
      <c r="D132" s="6" t="n">
        <f aca="false">COUNTA(Matriz!D129:CV129)</f>
        <v>2</v>
      </c>
      <c r="E132" s="6" t="n">
        <f aca="false">SUMPRODUCT((LEFT(Matriz!$D$1:$CV$1,3)="3.A")*(Matriz!D129:CV129&lt;&gt;""))</f>
        <v>0</v>
      </c>
      <c r="F132" s="6" t="n">
        <f aca="false">SUMPRODUCT((LEFT(Matriz!$D$1:$CV$1,3)="3.B")*(Matriz!D129:CV129&lt;&gt;""))</f>
        <v>2</v>
      </c>
      <c r="G132" s="6" t="n">
        <f aca="false">SUMPRODUCT((LEFT(Matriz!$D$1:$CV$1,3)="4.B")*(Matriz!D129:CV129&lt;&gt;""))</f>
        <v>0</v>
      </c>
      <c r="H132" s="4" t="s">
        <v>256</v>
      </c>
      <c r="I132" s="4" t="s">
        <v>17</v>
      </c>
      <c r="J132" s="4" t="s">
        <v>17</v>
      </c>
      <c r="K132" s="4" t="s">
        <v>17</v>
      </c>
    </row>
    <row r="133" customFormat="false" ht="15" hidden="false" customHeight="false" outlineLevel="0" collapsed="false">
      <c r="A133" s="4" t="s">
        <v>487</v>
      </c>
      <c r="B133" s="5" t="s">
        <v>522</v>
      </c>
      <c r="C133" s="4" t="s">
        <v>523</v>
      </c>
      <c r="D133" s="6" t="n">
        <f aca="false">COUNTA(Matriz!D130:CV130)</f>
        <v>2</v>
      </c>
      <c r="E133" s="6" t="n">
        <f aca="false">SUMPRODUCT((LEFT(Matriz!$D$1:$CV$1,3)="3.A")*(Matriz!D130:CV130&lt;&gt;""))</f>
        <v>1</v>
      </c>
      <c r="F133" s="6" t="n">
        <f aca="false">SUMPRODUCT((LEFT(Matriz!$D$1:$CV$1,3)="3.B")*(Matriz!D130:CV130&lt;&gt;""))</f>
        <v>0</v>
      </c>
      <c r="G133" s="6" t="n">
        <f aca="false">SUMPRODUCT((LEFT(Matriz!$D$1:$CV$1,3)="4.B")*(Matriz!D130:CV130&lt;&gt;""))</f>
        <v>1</v>
      </c>
      <c r="H133" s="4" t="s">
        <v>308</v>
      </c>
      <c r="I133" s="4" t="s">
        <v>17</v>
      </c>
      <c r="J133" s="4" t="s">
        <v>524</v>
      </c>
      <c r="K133" s="4" t="s">
        <v>308</v>
      </c>
    </row>
    <row r="134" customFormat="false" ht="15" hidden="false" customHeight="false" outlineLevel="0" collapsed="false">
      <c r="A134" s="4" t="s">
        <v>487</v>
      </c>
      <c r="B134" s="5" t="s">
        <v>525</v>
      </c>
      <c r="C134" s="4" t="s">
        <v>526</v>
      </c>
      <c r="D134" s="6" t="n">
        <f aca="false">COUNTA(Matriz!D131:CV131)</f>
        <v>2</v>
      </c>
      <c r="E134" s="6" t="n">
        <f aca="false">SUMPRODUCT((LEFT(Matriz!$D$1:$CV$1,3)="3.A")*(Matriz!D131:CV131&lt;&gt;""))</f>
        <v>0</v>
      </c>
      <c r="F134" s="6" t="n">
        <f aca="false">SUMPRODUCT((LEFT(Matriz!$D$1:$CV$1,3)="3.B")*(Matriz!D131:CV131&lt;&gt;""))</f>
        <v>2</v>
      </c>
      <c r="G134" s="6" t="n">
        <f aca="false">SUMPRODUCT((LEFT(Matriz!$D$1:$CV$1,3)="4.B")*(Matriz!D131:CV131&lt;&gt;""))</f>
        <v>0</v>
      </c>
      <c r="H134" s="4" t="s">
        <v>256</v>
      </c>
      <c r="I134" s="4" t="s">
        <v>508</v>
      </c>
      <c r="J134" s="4" t="s">
        <v>527</v>
      </c>
      <c r="K134" s="4" t="s">
        <v>17</v>
      </c>
    </row>
    <row r="135" customFormat="false" ht="15" hidden="false" customHeight="false" outlineLevel="0" collapsed="false">
      <c r="A135" s="4" t="s">
        <v>487</v>
      </c>
      <c r="B135" s="5" t="s">
        <v>528</v>
      </c>
      <c r="C135" s="4" t="s">
        <v>529</v>
      </c>
      <c r="D135" s="6" t="n">
        <f aca="false">COUNTA(Matriz!D132:CV132)</f>
        <v>2</v>
      </c>
      <c r="E135" s="6" t="n">
        <f aca="false">SUMPRODUCT((LEFT(Matriz!$D$1:$CV$1,3)="3.A")*(Matriz!D132:CV132&lt;&gt;""))</f>
        <v>1</v>
      </c>
      <c r="F135" s="6" t="n">
        <f aca="false">SUMPRODUCT((LEFT(Matriz!$D$1:$CV$1,3)="3.B")*(Matriz!D132:CV132&lt;&gt;""))</f>
        <v>1</v>
      </c>
      <c r="G135" s="6" t="n">
        <f aca="false">SUMPRODUCT((LEFT(Matriz!$D$1:$CV$1,3)="4.B")*(Matriz!D132:CV132&lt;&gt;""))</f>
        <v>0</v>
      </c>
      <c r="H135" s="4" t="s">
        <v>530</v>
      </c>
      <c r="I135" s="4" t="s">
        <v>17</v>
      </c>
      <c r="J135" s="4" t="s">
        <v>17</v>
      </c>
      <c r="K135" s="4" t="s">
        <v>17</v>
      </c>
    </row>
    <row r="136" customFormat="false" ht="15" hidden="false" customHeight="false" outlineLevel="0" collapsed="false">
      <c r="A136" s="4" t="s">
        <v>487</v>
      </c>
      <c r="B136" s="5" t="s">
        <v>531</v>
      </c>
      <c r="C136" s="4" t="s">
        <v>532</v>
      </c>
      <c r="D136" s="6" t="n">
        <f aca="false">COUNTA(Matriz!D133:CV133)</f>
        <v>6</v>
      </c>
      <c r="E136" s="6" t="n">
        <f aca="false">SUMPRODUCT((LEFT(Matriz!$D$1:$CV$1,3)="3.A")*(Matriz!D133:CV133&lt;&gt;""))</f>
        <v>3</v>
      </c>
      <c r="F136" s="6" t="n">
        <f aca="false">SUMPRODUCT((LEFT(Matriz!$D$1:$CV$1,3)="3.B")*(Matriz!D133:CV133&lt;&gt;""))</f>
        <v>3</v>
      </c>
      <c r="G136" s="6" t="n">
        <f aca="false">SUMPRODUCT((LEFT(Matriz!$D$1:$CV$1,3)="4.B")*(Matriz!D133:CV133&lt;&gt;""))</f>
        <v>0</v>
      </c>
      <c r="H136" s="4" t="s">
        <v>533</v>
      </c>
      <c r="I136" s="4" t="s">
        <v>534</v>
      </c>
      <c r="J136" s="4" t="s">
        <v>17</v>
      </c>
      <c r="K136" s="4" t="s">
        <v>17</v>
      </c>
    </row>
    <row r="137" customFormat="false" ht="15" hidden="false" customHeight="false" outlineLevel="0" collapsed="false">
      <c r="A137" s="4" t="s">
        <v>535</v>
      </c>
      <c r="B137" s="5" t="s">
        <v>536</v>
      </c>
      <c r="C137" s="4" t="s">
        <v>537</v>
      </c>
      <c r="D137" s="6" t="n">
        <f aca="false">COUNTA(Matriz!D134:CV134)</f>
        <v>1</v>
      </c>
      <c r="E137" s="6" t="n">
        <f aca="false">SUMPRODUCT((LEFT(Matriz!$D$1:$CV$1,3)="3.A")*(Matriz!D134:CV134&lt;&gt;""))</f>
        <v>0</v>
      </c>
      <c r="F137" s="6" t="n">
        <f aca="false">SUMPRODUCT((LEFT(Matriz!$D$1:$CV$1,3)="3.B")*(Matriz!D134:CV134&lt;&gt;""))</f>
        <v>1</v>
      </c>
      <c r="G137" s="6" t="n">
        <f aca="false">SUMPRODUCT((LEFT(Matriz!$D$1:$CV$1,3)="4.B")*(Matriz!D134:CV134&lt;&gt;""))</f>
        <v>0</v>
      </c>
      <c r="H137" s="4" t="s">
        <v>538</v>
      </c>
      <c r="I137" s="4" t="s">
        <v>538</v>
      </c>
      <c r="J137" s="4" t="s">
        <v>539</v>
      </c>
      <c r="K137" s="4" t="s">
        <v>17</v>
      </c>
    </row>
    <row r="138" customFormat="false" ht="15" hidden="false" customHeight="false" outlineLevel="0" collapsed="false">
      <c r="A138" s="4" t="s">
        <v>535</v>
      </c>
      <c r="B138" s="5" t="s">
        <v>540</v>
      </c>
      <c r="C138" s="4" t="s">
        <v>541</v>
      </c>
      <c r="D138" s="6" t="n">
        <f aca="false">COUNTA(Matriz!D135:CV135)</f>
        <v>1</v>
      </c>
      <c r="E138" s="6" t="n">
        <f aca="false">SUMPRODUCT((LEFT(Matriz!$D$1:$CV$1,3)="3.A")*(Matriz!D135:CV135&lt;&gt;""))</f>
        <v>0</v>
      </c>
      <c r="F138" s="6" t="n">
        <f aca="false">SUMPRODUCT((LEFT(Matriz!$D$1:$CV$1,3)="3.B")*(Matriz!D135:CV135&lt;&gt;""))</f>
        <v>1</v>
      </c>
      <c r="G138" s="6" t="n">
        <f aca="false">SUMPRODUCT((LEFT(Matriz!$D$1:$CV$1,3)="4.B")*(Matriz!D135:CV135&lt;&gt;""))</f>
        <v>0</v>
      </c>
      <c r="H138" s="4" t="s">
        <v>538</v>
      </c>
      <c r="I138" s="4" t="s">
        <v>17</v>
      </c>
      <c r="J138" s="4" t="s">
        <v>17</v>
      </c>
      <c r="K138" s="4" t="s">
        <v>17</v>
      </c>
    </row>
    <row r="139" customFormat="false" ht="23.85" hidden="false" customHeight="false" outlineLevel="0" collapsed="false">
      <c r="A139" s="4" t="s">
        <v>125</v>
      </c>
      <c r="B139" s="5" t="s">
        <v>542</v>
      </c>
      <c r="C139" s="4" t="s">
        <v>543</v>
      </c>
      <c r="D139" s="6" t="n">
        <f aca="false">COUNTA(Matriz!D136:CV136)</f>
        <v>3</v>
      </c>
      <c r="E139" s="6" t="n">
        <f aca="false">SUMPRODUCT((LEFT(Matriz!$D$1:$CV$1,3)="3.A")*(Matriz!D136:CV136&lt;&gt;""))</f>
        <v>0</v>
      </c>
      <c r="F139" s="6" t="n">
        <f aca="false">SUMPRODUCT((LEFT(Matriz!$D$1:$CV$1,3)="3.B")*(Matriz!D136:CV136&lt;&gt;""))</f>
        <v>0</v>
      </c>
      <c r="G139" s="6" t="n">
        <f aca="false">SUMPRODUCT((LEFT(Matriz!$D$1:$CV$1,3)="4.B")*(Matriz!D136:CV136&lt;&gt;""))</f>
        <v>3</v>
      </c>
      <c r="H139" s="4" t="s">
        <v>544</v>
      </c>
      <c r="I139" s="4" t="s">
        <v>17</v>
      </c>
      <c r="J139" s="4" t="s">
        <v>17</v>
      </c>
      <c r="K139" s="4" t="s">
        <v>17</v>
      </c>
    </row>
    <row r="140" customFormat="false" ht="15" hidden="false" customHeight="false" outlineLevel="0" collapsed="false">
      <c r="A140" s="4" t="s">
        <v>189</v>
      </c>
      <c r="B140" s="5" t="s">
        <v>545</v>
      </c>
      <c r="C140" s="4" t="s">
        <v>546</v>
      </c>
      <c r="D140" s="6" t="n">
        <f aca="false">COUNTA(Matriz!D137:CV137)</f>
        <v>1</v>
      </c>
      <c r="E140" s="6" t="n">
        <f aca="false">SUMPRODUCT((LEFT(Matriz!$D$1:$CV$1,3)="3.A")*(Matriz!D137:CV137&lt;&gt;""))</f>
        <v>1</v>
      </c>
      <c r="F140" s="6" t="n">
        <f aca="false">SUMPRODUCT((LEFT(Matriz!$D$1:$CV$1,3)="3.B")*(Matriz!D137:CV137&lt;&gt;""))</f>
        <v>0</v>
      </c>
      <c r="G140" s="6" t="n">
        <f aca="false">SUMPRODUCT((LEFT(Matriz!$D$1:$CV$1,3)="4.B")*(Matriz!D137:CV137&lt;&gt;""))</f>
        <v>0</v>
      </c>
      <c r="H140" s="4" t="s">
        <v>294</v>
      </c>
      <c r="I140" s="4" t="s">
        <v>294</v>
      </c>
      <c r="J140" s="4" t="s">
        <v>17</v>
      </c>
      <c r="K140" s="4" t="s">
        <v>17</v>
      </c>
    </row>
    <row r="141" customFormat="false" ht="23.85" hidden="false" customHeight="false" outlineLevel="0" collapsed="false">
      <c r="A141" s="4" t="s">
        <v>316</v>
      </c>
      <c r="B141" s="5" t="s">
        <v>547</v>
      </c>
      <c r="C141" s="4" t="s">
        <v>548</v>
      </c>
      <c r="D141" s="6" t="n">
        <f aca="false">COUNTA(Matriz!D138:CV138)</f>
        <v>2</v>
      </c>
      <c r="E141" s="6" t="n">
        <f aca="false">SUMPRODUCT((LEFT(Matriz!$D$1:$CV$1,3)="3.A")*(Matriz!D138:CV138&lt;&gt;""))</f>
        <v>2</v>
      </c>
      <c r="F141" s="6" t="n">
        <f aca="false">SUMPRODUCT((LEFT(Matriz!$D$1:$CV$1,3)="3.B")*(Matriz!D138:CV138&lt;&gt;""))</f>
        <v>0</v>
      </c>
      <c r="G141" s="6" t="n">
        <f aca="false">SUMPRODUCT((LEFT(Matriz!$D$1:$CV$1,3)="4.B")*(Matriz!D138:CV138&lt;&gt;""))</f>
        <v>0</v>
      </c>
      <c r="H141" s="4" t="s">
        <v>549</v>
      </c>
      <c r="I141" s="4" t="s">
        <v>550</v>
      </c>
      <c r="J141" s="4" t="s">
        <v>17</v>
      </c>
      <c r="K141" s="4" t="s">
        <v>17</v>
      </c>
    </row>
    <row r="142" customFormat="false" ht="23.85" hidden="false" customHeight="false" outlineLevel="0" collapsed="false">
      <c r="A142" s="4" t="s">
        <v>433</v>
      </c>
      <c r="B142" s="5" t="s">
        <v>551</v>
      </c>
      <c r="C142" s="4" t="s">
        <v>552</v>
      </c>
      <c r="D142" s="6" t="n">
        <f aca="false">COUNTA(Matriz!D139:CV139)</f>
        <v>1</v>
      </c>
      <c r="E142" s="6" t="n">
        <f aca="false">SUMPRODUCT((LEFT(Matriz!$D$1:$CV$1,3)="3.A")*(Matriz!D139:CV139&lt;&gt;""))</f>
        <v>0</v>
      </c>
      <c r="F142" s="6" t="n">
        <f aca="false">SUMPRODUCT((LEFT(Matriz!$D$1:$CV$1,3)="3.B")*(Matriz!D139:CV139&lt;&gt;""))</f>
        <v>1</v>
      </c>
      <c r="G142" s="6" t="n">
        <f aca="false">SUMPRODUCT((LEFT(Matriz!$D$1:$CV$1,3)="4.B")*(Matriz!D139:CV139&lt;&gt;""))</f>
        <v>0</v>
      </c>
      <c r="H142" s="4" t="s">
        <v>442</v>
      </c>
      <c r="I142" s="4" t="s">
        <v>442</v>
      </c>
      <c r="J142" s="4" t="s">
        <v>17</v>
      </c>
      <c r="K142" s="4" t="s">
        <v>17</v>
      </c>
    </row>
    <row r="143" customFormat="false" ht="23.85" hidden="false" customHeight="false" outlineLevel="0" collapsed="false">
      <c r="A143" s="4" t="s">
        <v>433</v>
      </c>
      <c r="B143" s="5" t="s">
        <v>553</v>
      </c>
      <c r="C143" s="4" t="s">
        <v>554</v>
      </c>
      <c r="D143" s="6" t="n">
        <f aca="false">COUNTA(Matriz!D140:CV140)</f>
        <v>4</v>
      </c>
      <c r="E143" s="6" t="n">
        <f aca="false">SUMPRODUCT((LEFT(Matriz!$D$1:$CV$1,3)="3.A")*(Matriz!D140:CV140&lt;&gt;""))</f>
        <v>0</v>
      </c>
      <c r="F143" s="6" t="n">
        <f aca="false">SUMPRODUCT((LEFT(Matriz!$D$1:$CV$1,3)="3.B")*(Matriz!D140:CV140&lt;&gt;""))</f>
        <v>4</v>
      </c>
      <c r="G143" s="6" t="n">
        <f aca="false">SUMPRODUCT((LEFT(Matriz!$D$1:$CV$1,3)="4.B")*(Matriz!D140:CV140&lt;&gt;""))</f>
        <v>0</v>
      </c>
      <c r="H143" s="4" t="s">
        <v>555</v>
      </c>
      <c r="I143" s="4" t="s">
        <v>556</v>
      </c>
      <c r="J143" s="4" t="s">
        <v>17</v>
      </c>
      <c r="K143" s="4" t="s">
        <v>17</v>
      </c>
    </row>
    <row r="144" customFormat="false" ht="23.85" hidden="false" customHeight="false" outlineLevel="0" collapsed="false">
      <c r="A144" s="4" t="s">
        <v>433</v>
      </c>
      <c r="B144" s="5" t="s">
        <v>557</v>
      </c>
      <c r="C144" s="4" t="s">
        <v>558</v>
      </c>
      <c r="D144" s="6" t="n">
        <f aca="false">COUNTA(Matriz!D141:CV141)</f>
        <v>4</v>
      </c>
      <c r="E144" s="6" t="n">
        <f aca="false">SUMPRODUCT((LEFT(Matriz!$D$1:$CV$1,3)="3.A")*(Matriz!D141:CV141&lt;&gt;""))</f>
        <v>1</v>
      </c>
      <c r="F144" s="6" t="n">
        <f aca="false">SUMPRODUCT((LEFT(Matriz!$D$1:$CV$1,3)="3.B")*(Matriz!D141:CV141&lt;&gt;""))</f>
        <v>3</v>
      </c>
      <c r="G144" s="6" t="n">
        <f aca="false">SUMPRODUCT((LEFT(Matriz!$D$1:$CV$1,3)="4.B")*(Matriz!D141:CV141&lt;&gt;""))</f>
        <v>0</v>
      </c>
      <c r="H144" s="4" t="s">
        <v>559</v>
      </c>
      <c r="I144" s="4" t="s">
        <v>451</v>
      </c>
      <c r="J144" s="4" t="s">
        <v>560</v>
      </c>
      <c r="K144" s="4" t="s">
        <v>473</v>
      </c>
    </row>
  </sheetData>
  <autoFilter ref="A4:K144"/>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3" min="3" style="0" width="8"/>
    <col collapsed="false" customWidth="true" hidden="false" outlineLevel="0" max="100" min="4" style="0" width="4.2"/>
  </cols>
  <sheetData>
    <row r="1" customFormat="false" ht="48" hidden="false" customHeight="true" outlineLevel="0" collapsed="false">
      <c r="A1" s="7" t="s">
        <v>2</v>
      </c>
      <c r="B1" s="7" t="s">
        <v>3</v>
      </c>
      <c r="C1" s="7" t="s">
        <v>5</v>
      </c>
      <c r="D1" s="8" t="s">
        <v>398</v>
      </c>
      <c r="E1" s="8" t="s">
        <v>20</v>
      </c>
      <c r="F1" s="8" t="s">
        <v>561</v>
      </c>
      <c r="G1" s="8" t="s">
        <v>562</v>
      </c>
      <c r="H1" s="8" t="s">
        <v>196</v>
      </c>
      <c r="I1" s="8" t="s">
        <v>42</v>
      </c>
      <c r="J1" s="8" t="s">
        <v>220</v>
      </c>
      <c r="K1" s="8" t="s">
        <v>563</v>
      </c>
      <c r="L1" s="8" t="s">
        <v>564</v>
      </c>
      <c r="M1" s="8" t="s">
        <v>28</v>
      </c>
      <c r="N1" s="8" t="s">
        <v>565</v>
      </c>
      <c r="O1" s="8" t="s">
        <v>113</v>
      </c>
      <c r="P1" s="8" t="s">
        <v>84</v>
      </c>
      <c r="Q1" s="8" t="s">
        <v>76</v>
      </c>
      <c r="R1" s="8" t="s">
        <v>67</v>
      </c>
      <c r="S1" s="8" t="s">
        <v>566</v>
      </c>
      <c r="T1" s="8" t="s">
        <v>63</v>
      </c>
      <c r="U1" s="8" t="s">
        <v>59</v>
      </c>
      <c r="V1" s="8" t="s">
        <v>48</v>
      </c>
      <c r="W1" s="8" t="s">
        <v>100</v>
      </c>
      <c r="X1" s="8" t="s">
        <v>567</v>
      </c>
      <c r="Y1" s="8" t="s">
        <v>568</v>
      </c>
      <c r="Z1" s="8" t="s">
        <v>569</v>
      </c>
      <c r="AA1" s="8" t="s">
        <v>38</v>
      </c>
      <c r="AB1" s="8" t="s">
        <v>550</v>
      </c>
      <c r="AC1" s="8" t="s">
        <v>320</v>
      </c>
      <c r="AD1" s="8" t="s">
        <v>570</v>
      </c>
      <c r="AE1" s="8" t="s">
        <v>571</v>
      </c>
      <c r="AF1" s="8" t="s">
        <v>572</v>
      </c>
      <c r="AG1" s="8" t="s">
        <v>383</v>
      </c>
      <c r="AH1" s="8" t="s">
        <v>573</v>
      </c>
      <c r="AI1" s="8" t="s">
        <v>266</v>
      </c>
      <c r="AJ1" s="8" t="s">
        <v>227</v>
      </c>
      <c r="AK1" s="8" t="s">
        <v>294</v>
      </c>
      <c r="AL1" s="8" t="s">
        <v>312</v>
      </c>
      <c r="AM1" s="8" t="s">
        <v>574</v>
      </c>
      <c r="AN1" s="8" t="s">
        <v>575</v>
      </c>
      <c r="AO1" s="8" t="s">
        <v>576</v>
      </c>
      <c r="AP1" s="8" t="s">
        <v>577</v>
      </c>
      <c r="AQ1" s="8" t="s">
        <v>296</v>
      </c>
      <c r="AR1" s="8" t="s">
        <v>578</v>
      </c>
      <c r="AS1" s="8" t="s">
        <v>346</v>
      </c>
      <c r="AT1" s="8" t="s">
        <v>369</v>
      </c>
      <c r="AU1" s="8" t="s">
        <v>579</v>
      </c>
      <c r="AV1" s="8" t="s">
        <v>580</v>
      </c>
      <c r="AW1" s="8" t="s">
        <v>268</v>
      </c>
      <c r="AX1" s="8" t="s">
        <v>581</v>
      </c>
      <c r="AY1" s="8" t="s">
        <v>388</v>
      </c>
      <c r="AZ1" s="8" t="s">
        <v>402</v>
      </c>
      <c r="BA1" s="8" t="s">
        <v>390</v>
      </c>
      <c r="BB1" s="8" t="s">
        <v>420</v>
      </c>
      <c r="BC1" s="8" t="s">
        <v>408</v>
      </c>
      <c r="BD1" s="8" t="s">
        <v>109</v>
      </c>
      <c r="BE1" s="8" t="s">
        <v>582</v>
      </c>
      <c r="BF1" s="8" t="s">
        <v>235</v>
      </c>
      <c r="BG1" s="8" t="s">
        <v>583</v>
      </c>
      <c r="BH1" s="8" t="s">
        <v>451</v>
      </c>
      <c r="BI1" s="8" t="s">
        <v>584</v>
      </c>
      <c r="BJ1" s="8" t="s">
        <v>473</v>
      </c>
      <c r="BK1" s="8" t="s">
        <v>469</v>
      </c>
      <c r="BL1" s="8" t="s">
        <v>585</v>
      </c>
      <c r="BM1" s="8" t="s">
        <v>477</v>
      </c>
      <c r="BN1" s="8" t="s">
        <v>416</v>
      </c>
      <c r="BO1" s="8" t="s">
        <v>586</v>
      </c>
      <c r="BP1" s="8" t="s">
        <v>442</v>
      </c>
      <c r="BQ1" s="8" t="s">
        <v>499</v>
      </c>
      <c r="BR1" s="8" t="s">
        <v>504</v>
      </c>
      <c r="BS1" s="8" t="s">
        <v>508</v>
      </c>
      <c r="BT1" s="8" t="s">
        <v>587</v>
      </c>
      <c r="BU1" s="8" t="s">
        <v>588</v>
      </c>
      <c r="BV1" s="8" t="s">
        <v>589</v>
      </c>
      <c r="BW1" s="8" t="s">
        <v>538</v>
      </c>
      <c r="BX1" s="8" t="s">
        <v>590</v>
      </c>
      <c r="BY1" s="8" t="s">
        <v>591</v>
      </c>
      <c r="BZ1" s="8" t="s">
        <v>592</v>
      </c>
      <c r="CA1" s="8" t="s">
        <v>593</v>
      </c>
      <c r="CB1" s="8" t="s">
        <v>594</v>
      </c>
      <c r="CC1" s="8" t="s">
        <v>595</v>
      </c>
      <c r="CD1" s="8" t="s">
        <v>596</v>
      </c>
      <c r="CE1" s="8" t="s">
        <v>597</v>
      </c>
      <c r="CF1" s="8" t="s">
        <v>145</v>
      </c>
      <c r="CG1" s="8" t="s">
        <v>598</v>
      </c>
      <c r="CH1" s="8" t="s">
        <v>155</v>
      </c>
      <c r="CI1" s="8" t="s">
        <v>148</v>
      </c>
      <c r="CJ1" s="8" t="s">
        <v>599</v>
      </c>
      <c r="CK1" s="8" t="s">
        <v>600</v>
      </c>
      <c r="CL1" s="8" t="s">
        <v>166</v>
      </c>
      <c r="CM1" s="8" t="s">
        <v>170</v>
      </c>
      <c r="CN1" s="8" t="s">
        <v>601</v>
      </c>
      <c r="CO1" s="8" t="s">
        <v>241</v>
      </c>
      <c r="CP1" s="8" t="s">
        <v>602</v>
      </c>
      <c r="CQ1" s="8" t="s">
        <v>603</v>
      </c>
      <c r="CR1" s="8" t="s">
        <v>604</v>
      </c>
      <c r="CS1" s="8" t="s">
        <v>137</v>
      </c>
      <c r="CT1" s="8" t="s">
        <v>179</v>
      </c>
      <c r="CU1" s="8" t="s">
        <v>605</v>
      </c>
      <c r="CV1" s="8" t="s">
        <v>467</v>
      </c>
    </row>
    <row r="2" customFormat="false" ht="15" hidden="false" customHeight="false" outlineLevel="0" collapsed="false">
      <c r="A2" s="9" t="s">
        <v>13</v>
      </c>
      <c r="B2" s="10" t="s">
        <v>14</v>
      </c>
      <c r="C2" s="9" t="n">
        <f aca="false">COUNTA(D2:CV2)</f>
        <v>4</v>
      </c>
      <c r="E2" s="11" t="s">
        <v>606</v>
      </c>
      <c r="H2" s="11" t="s">
        <v>606</v>
      </c>
      <c r="AG2" s="11" t="s">
        <v>607</v>
      </c>
      <c r="CK2" s="11" t="s">
        <v>607</v>
      </c>
    </row>
    <row r="3" customFormat="false" ht="15" hidden="false" customHeight="false" outlineLevel="0" collapsed="false">
      <c r="A3" s="9" t="s">
        <v>13</v>
      </c>
      <c r="B3" s="10" t="s">
        <v>18</v>
      </c>
      <c r="C3" s="9" t="n">
        <f aca="false">COUNTA(D3:CV3)</f>
        <v>1</v>
      </c>
      <c r="E3" s="11" t="s">
        <v>606</v>
      </c>
    </row>
    <row r="4" customFormat="false" ht="15" hidden="false" customHeight="false" outlineLevel="0" collapsed="false">
      <c r="A4" s="9" t="s">
        <v>13</v>
      </c>
      <c r="B4" s="10" t="s">
        <v>21</v>
      </c>
      <c r="C4" s="9" t="n">
        <f aca="false">COUNTA(D4:CV4)</f>
        <v>3</v>
      </c>
      <c r="F4" s="11" t="s">
        <v>607</v>
      </c>
      <c r="AE4" s="11" t="s">
        <v>606</v>
      </c>
      <c r="AK4" s="11" t="s">
        <v>606</v>
      </c>
    </row>
    <row r="5" customFormat="false" ht="15" hidden="false" customHeight="false" outlineLevel="0" collapsed="false">
      <c r="A5" s="9" t="s">
        <v>24</v>
      </c>
      <c r="B5" s="10" t="s">
        <v>25</v>
      </c>
      <c r="C5" s="9" t="n">
        <f aca="false">COUNTA(D5:CV5)</f>
        <v>12</v>
      </c>
      <c r="D5" s="11" t="s">
        <v>607</v>
      </c>
      <c r="F5" s="11" t="s">
        <v>606</v>
      </c>
      <c r="J5" s="11" t="s">
        <v>606</v>
      </c>
      <c r="K5" s="11" t="s">
        <v>606</v>
      </c>
      <c r="M5" s="11" t="s">
        <v>608</v>
      </c>
      <c r="P5" s="11" t="s">
        <v>607</v>
      </c>
      <c r="Q5" s="11" t="s">
        <v>606</v>
      </c>
      <c r="U5" s="11" t="s">
        <v>606</v>
      </c>
      <c r="AE5" s="11" t="s">
        <v>606</v>
      </c>
      <c r="AR5" s="11" t="s">
        <v>606</v>
      </c>
      <c r="BG5" s="11" t="s">
        <v>606</v>
      </c>
      <c r="BH5" s="11" t="s">
        <v>606</v>
      </c>
    </row>
    <row r="6" customFormat="false" ht="15" hidden="false" customHeight="false" outlineLevel="0" collapsed="false">
      <c r="A6" s="9" t="s">
        <v>24</v>
      </c>
      <c r="B6" s="10" t="s">
        <v>30</v>
      </c>
      <c r="C6" s="9" t="n">
        <f aca="false">COUNTA(D6:CV6)</f>
        <v>4</v>
      </c>
      <c r="D6" s="11" t="s">
        <v>607</v>
      </c>
      <c r="M6" s="11" t="s">
        <v>608</v>
      </c>
      <c r="AI6" s="11" t="s">
        <v>607</v>
      </c>
      <c r="BG6" s="11" t="s">
        <v>607</v>
      </c>
    </row>
    <row r="7" customFormat="false" ht="15" hidden="false" customHeight="false" outlineLevel="0" collapsed="false">
      <c r="A7" s="9" t="s">
        <v>24</v>
      </c>
      <c r="B7" s="10" t="s">
        <v>33</v>
      </c>
      <c r="C7" s="9" t="n">
        <f aca="false">COUNTA(D7:CV7)</f>
        <v>3</v>
      </c>
      <c r="D7" s="11" t="s">
        <v>607</v>
      </c>
      <c r="AE7" s="11" t="s">
        <v>607</v>
      </c>
      <c r="CT7" s="11" t="s">
        <v>607</v>
      </c>
    </row>
    <row r="8" customFormat="false" ht="15" hidden="false" customHeight="false" outlineLevel="0" collapsed="false">
      <c r="A8" s="9" t="s">
        <v>24</v>
      </c>
      <c r="B8" s="10" t="s">
        <v>36</v>
      </c>
      <c r="C8" s="9" t="n">
        <f aca="false">COUNTA(D8:CV8)</f>
        <v>1</v>
      </c>
      <c r="AA8" s="11" t="s">
        <v>608</v>
      </c>
    </row>
    <row r="9" customFormat="false" ht="15" hidden="false" customHeight="false" outlineLevel="0" collapsed="false">
      <c r="A9" s="9" t="s">
        <v>24</v>
      </c>
      <c r="B9" s="10" t="s">
        <v>39</v>
      </c>
      <c r="C9" s="9" t="n">
        <f aca="false">COUNTA(D9:CV9)</f>
        <v>7</v>
      </c>
      <c r="F9" s="11" t="s">
        <v>606</v>
      </c>
      <c r="I9" s="11" t="s">
        <v>608</v>
      </c>
      <c r="J9" s="11" t="s">
        <v>607</v>
      </c>
      <c r="X9" s="11" t="s">
        <v>606</v>
      </c>
      <c r="AA9" s="11" t="s">
        <v>607</v>
      </c>
      <c r="AK9" s="11" t="s">
        <v>607</v>
      </c>
      <c r="AQ9" s="11" t="s">
        <v>606</v>
      </c>
    </row>
    <row r="10" customFormat="false" ht="15" hidden="false" customHeight="false" outlineLevel="0" collapsed="false">
      <c r="A10" s="9" t="s">
        <v>24</v>
      </c>
      <c r="B10" s="10" t="s">
        <v>43</v>
      </c>
      <c r="C10" s="9" t="n">
        <f aca="false">COUNTA(D10:CV10)</f>
        <v>15</v>
      </c>
      <c r="G10" s="11" t="s">
        <v>607</v>
      </c>
      <c r="J10" s="11" t="s">
        <v>608</v>
      </c>
      <c r="Q10" s="11" t="s">
        <v>607</v>
      </c>
      <c r="S10" s="11" t="s">
        <v>606</v>
      </c>
      <c r="T10" s="11" t="s">
        <v>608</v>
      </c>
      <c r="U10" s="11" t="s">
        <v>608</v>
      </c>
      <c r="V10" s="11" t="s">
        <v>606</v>
      </c>
      <c r="AD10" s="11" t="s">
        <v>606</v>
      </c>
      <c r="AM10" s="11" t="s">
        <v>606</v>
      </c>
      <c r="AQ10" s="11" t="s">
        <v>607</v>
      </c>
      <c r="AR10" s="11" t="s">
        <v>607</v>
      </c>
      <c r="AT10" s="11" t="s">
        <v>606</v>
      </c>
      <c r="AZ10" s="11" t="s">
        <v>608</v>
      </c>
      <c r="BA10" s="11" t="s">
        <v>608</v>
      </c>
      <c r="BD10" s="11" t="s">
        <v>607</v>
      </c>
    </row>
    <row r="11" customFormat="false" ht="15" hidden="false" customHeight="false" outlineLevel="0" collapsed="false">
      <c r="A11" s="9" t="s">
        <v>24</v>
      </c>
      <c r="B11" s="10" t="s">
        <v>49</v>
      </c>
      <c r="C11" s="9" t="n">
        <f aca="false">COUNTA(D11:CV11)</f>
        <v>2</v>
      </c>
      <c r="T11" s="11" t="s">
        <v>608</v>
      </c>
      <c r="U11" s="11" t="s">
        <v>608</v>
      </c>
    </row>
    <row r="12" customFormat="false" ht="15" hidden="false" customHeight="false" outlineLevel="0" collapsed="false">
      <c r="A12" s="9" t="s">
        <v>24</v>
      </c>
      <c r="B12" s="10" t="s">
        <v>53</v>
      </c>
      <c r="C12" s="9" t="n">
        <f aca="false">COUNTA(D12:CV12)</f>
        <v>2</v>
      </c>
      <c r="T12" s="11" t="s">
        <v>608</v>
      </c>
      <c r="U12" s="11" t="s">
        <v>608</v>
      </c>
    </row>
    <row r="13" customFormat="false" ht="15" hidden="false" customHeight="false" outlineLevel="0" collapsed="false">
      <c r="A13" s="9" t="s">
        <v>24</v>
      </c>
      <c r="B13" s="10" t="s">
        <v>56</v>
      </c>
      <c r="C13" s="9" t="n">
        <f aca="false">COUNTA(D13:CV13)</f>
        <v>3</v>
      </c>
      <c r="U13" s="11" t="s">
        <v>608</v>
      </c>
      <c r="BB13" s="11" t="s">
        <v>607</v>
      </c>
      <c r="BJ13" s="11" t="s">
        <v>606</v>
      </c>
    </row>
    <row r="14" customFormat="false" ht="15" hidden="false" customHeight="false" outlineLevel="0" collapsed="false">
      <c r="A14" s="9" t="s">
        <v>24</v>
      </c>
      <c r="B14" s="10" t="s">
        <v>60</v>
      </c>
      <c r="C14" s="9" t="n">
        <f aca="false">COUNTA(D14:CV14)</f>
        <v>3</v>
      </c>
      <c r="I14" s="11" t="s">
        <v>606</v>
      </c>
      <c r="T14" s="11" t="s">
        <v>608</v>
      </c>
      <c r="U14" s="11" t="s">
        <v>607</v>
      </c>
    </row>
    <row r="15" customFormat="false" ht="15" hidden="false" customHeight="false" outlineLevel="0" collapsed="false">
      <c r="A15" s="9" t="s">
        <v>24</v>
      </c>
      <c r="B15" s="10" t="s">
        <v>65</v>
      </c>
      <c r="C15" s="9" t="n">
        <f aca="false">COUNTA(D15:CV15)</f>
        <v>1</v>
      </c>
      <c r="R15" s="11" t="s">
        <v>608</v>
      </c>
    </row>
    <row r="16" customFormat="false" ht="15" hidden="false" customHeight="false" outlineLevel="0" collapsed="false">
      <c r="A16" s="9" t="s">
        <v>24</v>
      </c>
      <c r="B16" s="10" t="s">
        <v>68</v>
      </c>
      <c r="C16" s="9" t="n">
        <f aca="false">COUNTA(D16:CV16)</f>
        <v>1</v>
      </c>
      <c r="U16" s="11" t="s">
        <v>607</v>
      </c>
    </row>
    <row r="17" customFormat="false" ht="15" hidden="false" customHeight="false" outlineLevel="0" collapsed="false">
      <c r="A17" s="9" t="s">
        <v>24</v>
      </c>
      <c r="B17" s="10" t="s">
        <v>71</v>
      </c>
      <c r="C17" s="9" t="n">
        <f aca="false">COUNTA(D17:CV17)</f>
        <v>2</v>
      </c>
      <c r="Q17" s="11" t="s">
        <v>607</v>
      </c>
      <c r="CM17" s="11" t="s">
        <v>606</v>
      </c>
    </row>
    <row r="18" customFormat="false" ht="15" hidden="false" customHeight="false" outlineLevel="0" collapsed="false">
      <c r="A18" s="9" t="s">
        <v>24</v>
      </c>
      <c r="B18" s="10" t="s">
        <v>74</v>
      </c>
      <c r="C18" s="9" t="n">
        <f aca="false">COUNTA(D18:CV18)</f>
        <v>1</v>
      </c>
      <c r="Q18" s="11" t="s">
        <v>606</v>
      </c>
    </row>
    <row r="19" customFormat="false" ht="15" hidden="false" customHeight="false" outlineLevel="0" collapsed="false">
      <c r="A19" s="9" t="s">
        <v>24</v>
      </c>
      <c r="B19" s="10" t="s">
        <v>77</v>
      </c>
      <c r="C19" s="9" t="n">
        <f aca="false">COUNTA(D19:CV19)</f>
        <v>1</v>
      </c>
      <c r="Q19" s="11" t="s">
        <v>607</v>
      </c>
    </row>
    <row r="20" customFormat="false" ht="15" hidden="false" customHeight="false" outlineLevel="0" collapsed="false">
      <c r="A20" s="9" t="s">
        <v>24</v>
      </c>
      <c r="B20" s="10" t="s">
        <v>79</v>
      </c>
      <c r="C20" s="9" t="n">
        <f aca="false">COUNTA(D20:CV20)</f>
        <v>1</v>
      </c>
      <c r="Q20" s="11" t="s">
        <v>606</v>
      </c>
    </row>
    <row r="21" customFormat="false" ht="15" hidden="false" customHeight="false" outlineLevel="0" collapsed="false">
      <c r="A21" s="9" t="s">
        <v>24</v>
      </c>
      <c r="B21" s="10" t="s">
        <v>81</v>
      </c>
      <c r="C21" s="9" t="n">
        <f aca="false">COUNTA(D21:CV21)</f>
        <v>11</v>
      </c>
      <c r="P21" s="11" t="s">
        <v>608</v>
      </c>
      <c r="Q21" s="11" t="s">
        <v>607</v>
      </c>
      <c r="Y21" s="11" t="s">
        <v>607</v>
      </c>
      <c r="AC21" s="11" t="s">
        <v>606</v>
      </c>
      <c r="AI21" s="11" t="s">
        <v>606</v>
      </c>
      <c r="AJ21" s="11" t="s">
        <v>606</v>
      </c>
      <c r="AW21" s="11" t="s">
        <v>607</v>
      </c>
      <c r="BS21" s="11" t="s">
        <v>606</v>
      </c>
      <c r="BT21" s="11" t="s">
        <v>606</v>
      </c>
      <c r="CL21" s="11" t="s">
        <v>607</v>
      </c>
      <c r="CM21" s="11" t="s">
        <v>606</v>
      </c>
    </row>
    <row r="22" customFormat="false" ht="15" hidden="false" customHeight="false" outlineLevel="0" collapsed="false">
      <c r="A22" s="9" t="s">
        <v>24</v>
      </c>
      <c r="B22" s="10" t="s">
        <v>87</v>
      </c>
      <c r="C22" s="9" t="n">
        <f aca="false">COUNTA(D22:CV22)</f>
        <v>11</v>
      </c>
      <c r="D22" s="11" t="s">
        <v>606</v>
      </c>
      <c r="J22" s="11" t="s">
        <v>608</v>
      </c>
      <c r="M22" s="11" t="s">
        <v>606</v>
      </c>
      <c r="P22" s="11" t="s">
        <v>608</v>
      </c>
      <c r="AC22" s="11" t="s">
        <v>606</v>
      </c>
      <c r="BJ22" s="11" t="s">
        <v>606</v>
      </c>
      <c r="BS22" s="11" t="s">
        <v>606</v>
      </c>
      <c r="CH22" s="11" t="s">
        <v>606</v>
      </c>
      <c r="CJ22" s="11" t="s">
        <v>606</v>
      </c>
      <c r="CM22" s="11" t="s">
        <v>608</v>
      </c>
      <c r="CT22" s="11" t="s">
        <v>607</v>
      </c>
    </row>
    <row r="23" customFormat="false" ht="15" hidden="false" customHeight="false" outlineLevel="0" collapsed="false">
      <c r="A23" s="9" t="s">
        <v>24</v>
      </c>
      <c r="B23" s="10" t="s">
        <v>91</v>
      </c>
      <c r="C23" s="9" t="n">
        <f aca="false">COUNTA(D23:CV23)</f>
        <v>3</v>
      </c>
      <c r="M23" s="11" t="s">
        <v>607</v>
      </c>
      <c r="P23" s="11" t="s">
        <v>608</v>
      </c>
      <c r="CT23" s="11" t="s">
        <v>607</v>
      </c>
    </row>
    <row r="24" customFormat="false" ht="15" hidden="false" customHeight="false" outlineLevel="0" collapsed="false">
      <c r="A24" s="9" t="s">
        <v>24</v>
      </c>
      <c r="B24" s="10" t="s">
        <v>94</v>
      </c>
      <c r="C24" s="9" t="n">
        <f aca="false">COUNTA(D24:CV24)</f>
        <v>2</v>
      </c>
      <c r="P24" s="11" t="s">
        <v>608</v>
      </c>
      <c r="AA24" s="11" t="s">
        <v>607</v>
      </c>
    </row>
    <row r="25" customFormat="false" ht="15" hidden="false" customHeight="false" outlineLevel="0" collapsed="false">
      <c r="A25" s="9" t="s">
        <v>24</v>
      </c>
      <c r="B25" s="10" t="s">
        <v>97</v>
      </c>
      <c r="C25" s="9" t="n">
        <f aca="false">COUNTA(D25:CV25)</f>
        <v>10</v>
      </c>
      <c r="D25" s="11" t="s">
        <v>607</v>
      </c>
      <c r="I25" s="11" t="s">
        <v>606</v>
      </c>
      <c r="J25" s="11" t="s">
        <v>606</v>
      </c>
      <c r="M25" s="11" t="s">
        <v>607</v>
      </c>
      <c r="W25" s="11" t="s">
        <v>608</v>
      </c>
      <c r="Y25" s="11" t="s">
        <v>607</v>
      </c>
      <c r="Z25" s="11" t="s">
        <v>606</v>
      </c>
      <c r="AC25" s="11" t="s">
        <v>606</v>
      </c>
      <c r="AE25" s="11" t="s">
        <v>606</v>
      </c>
      <c r="AR25" s="11" t="s">
        <v>606</v>
      </c>
    </row>
    <row r="26" customFormat="false" ht="15" hidden="false" customHeight="false" outlineLevel="0" collapsed="false">
      <c r="A26" s="9" t="s">
        <v>24</v>
      </c>
      <c r="B26" s="10" t="s">
        <v>102</v>
      </c>
      <c r="C26" s="9" t="n">
        <f aca="false">COUNTA(D26:CV26)</f>
        <v>7</v>
      </c>
      <c r="H26" s="11" t="s">
        <v>607</v>
      </c>
      <c r="N26" s="11" t="s">
        <v>607</v>
      </c>
      <c r="AF26" s="11" t="s">
        <v>607</v>
      </c>
      <c r="AG26" s="11" t="s">
        <v>608</v>
      </c>
      <c r="BC26" s="11" t="s">
        <v>606</v>
      </c>
      <c r="BL26" s="11" t="s">
        <v>608</v>
      </c>
      <c r="BX26" s="11" t="s">
        <v>606</v>
      </c>
    </row>
    <row r="27" customFormat="false" ht="15" hidden="false" customHeight="false" outlineLevel="0" collapsed="false">
      <c r="A27" s="9" t="s">
        <v>24</v>
      </c>
      <c r="B27" s="10" t="s">
        <v>106</v>
      </c>
      <c r="C27" s="9" t="n">
        <f aca="false">COUNTA(D27:CV27)</f>
        <v>3</v>
      </c>
      <c r="W27" s="11" t="s">
        <v>607</v>
      </c>
      <c r="BC27" s="11" t="s">
        <v>606</v>
      </c>
      <c r="BD27" s="11" t="s">
        <v>608</v>
      </c>
    </row>
    <row r="28" customFormat="false" ht="15" hidden="false" customHeight="false" outlineLevel="0" collapsed="false">
      <c r="A28" s="9" t="s">
        <v>24</v>
      </c>
      <c r="B28" s="10" t="s">
        <v>110</v>
      </c>
      <c r="C28" s="9" t="n">
        <f aca="false">COUNTA(D28:CV28)</f>
        <v>4</v>
      </c>
      <c r="G28" s="11" t="s">
        <v>607</v>
      </c>
      <c r="O28" s="11" t="s">
        <v>608</v>
      </c>
      <c r="AH28" s="11" t="s">
        <v>607</v>
      </c>
      <c r="BH28" s="11" t="s">
        <v>607</v>
      </c>
    </row>
    <row r="29" customFormat="false" ht="15" hidden="false" customHeight="false" outlineLevel="0" collapsed="false">
      <c r="A29" s="9" t="s">
        <v>24</v>
      </c>
      <c r="B29" s="10" t="s">
        <v>114</v>
      </c>
      <c r="C29" s="9" t="n">
        <f aca="false">COUNTA(D29:CV29)</f>
        <v>1</v>
      </c>
      <c r="O29" s="11" t="s">
        <v>608</v>
      </c>
    </row>
    <row r="30" customFormat="false" ht="15" hidden="false" customHeight="false" outlineLevel="0" collapsed="false">
      <c r="A30" s="9" t="s">
        <v>116</v>
      </c>
      <c r="B30" s="10" t="s">
        <v>117</v>
      </c>
      <c r="C30" s="9" t="n">
        <f aca="false">COUNTA(D30:CV30)</f>
        <v>1</v>
      </c>
      <c r="V30" s="11" t="s">
        <v>607</v>
      </c>
    </row>
    <row r="31" customFormat="false" ht="15" hidden="false" customHeight="false" outlineLevel="0" collapsed="false">
      <c r="A31" s="9" t="s">
        <v>116</v>
      </c>
      <c r="B31" s="10" t="s">
        <v>119</v>
      </c>
      <c r="C31" s="9" t="n">
        <f aca="false">COUNTA(D31:CV31)</f>
        <v>2</v>
      </c>
      <c r="Q31" s="11" t="s">
        <v>607</v>
      </c>
      <c r="V31" s="11" t="s">
        <v>608</v>
      </c>
    </row>
    <row r="32" customFormat="false" ht="15" hidden="false" customHeight="false" outlineLevel="0" collapsed="false">
      <c r="A32" s="9" t="s">
        <v>116</v>
      </c>
      <c r="B32" s="10" t="s">
        <v>122</v>
      </c>
      <c r="C32" s="9" t="n">
        <f aca="false">COUNTA(D32:CV32)</f>
        <v>4</v>
      </c>
      <c r="Q32" s="11" t="s">
        <v>606</v>
      </c>
      <c r="V32" s="11" t="s">
        <v>608</v>
      </c>
      <c r="Y32" s="11" t="s">
        <v>607</v>
      </c>
      <c r="CB32" s="11" t="s">
        <v>606</v>
      </c>
    </row>
    <row r="33" customFormat="false" ht="15" hidden="false" customHeight="false" outlineLevel="0" collapsed="false">
      <c r="A33" s="9" t="s">
        <v>125</v>
      </c>
      <c r="B33" s="10" t="s">
        <v>126</v>
      </c>
      <c r="C33" s="9" t="n">
        <f aca="false">COUNTA(D33:CV33)</f>
        <v>10</v>
      </c>
      <c r="D33" s="11" t="s">
        <v>606</v>
      </c>
      <c r="V33" s="11" t="s">
        <v>608</v>
      </c>
      <c r="X33" s="11" t="s">
        <v>606</v>
      </c>
      <c r="Y33" s="11" t="s">
        <v>606</v>
      </c>
      <c r="AN33" s="11" t="s">
        <v>607</v>
      </c>
      <c r="AO33" s="11" t="s">
        <v>606</v>
      </c>
      <c r="CH33" s="11" t="s">
        <v>606</v>
      </c>
      <c r="CI33" s="11" t="s">
        <v>608</v>
      </c>
      <c r="CK33" s="11" t="s">
        <v>608</v>
      </c>
      <c r="CQ33" s="11" t="s">
        <v>607</v>
      </c>
    </row>
    <row r="34" customFormat="false" ht="15" hidden="false" customHeight="false" outlineLevel="0" collapsed="false">
      <c r="A34" s="9" t="s">
        <v>125</v>
      </c>
      <c r="B34" s="10" t="s">
        <v>132</v>
      </c>
      <c r="C34" s="9" t="n">
        <f aca="false">COUNTA(D34:CV34)</f>
        <v>10</v>
      </c>
      <c r="D34" s="11" t="s">
        <v>606</v>
      </c>
      <c r="P34" s="11" t="s">
        <v>606</v>
      </c>
      <c r="BU34" s="11" t="s">
        <v>606</v>
      </c>
      <c r="CH34" s="11" t="s">
        <v>606</v>
      </c>
      <c r="CI34" s="11" t="s">
        <v>608</v>
      </c>
      <c r="CJ34" s="11" t="s">
        <v>606</v>
      </c>
      <c r="CK34" s="11" t="s">
        <v>608</v>
      </c>
      <c r="CN34" s="11" t="s">
        <v>607</v>
      </c>
      <c r="CQ34" s="11" t="s">
        <v>607</v>
      </c>
      <c r="CS34" s="11" t="s">
        <v>606</v>
      </c>
    </row>
    <row r="35" customFormat="false" ht="15" hidden="false" customHeight="false" outlineLevel="0" collapsed="false">
      <c r="A35" s="9" t="s">
        <v>125</v>
      </c>
      <c r="B35" s="10" t="s">
        <v>138</v>
      </c>
      <c r="C35" s="9" t="n">
        <f aca="false">COUNTA(D35:CV35)</f>
        <v>4</v>
      </c>
      <c r="CI35" s="11" t="s">
        <v>608</v>
      </c>
      <c r="CJ35" s="11" t="s">
        <v>608</v>
      </c>
      <c r="CK35" s="11" t="s">
        <v>606</v>
      </c>
      <c r="CN35" s="11" t="s">
        <v>606</v>
      </c>
    </row>
    <row r="36" customFormat="false" ht="15" hidden="false" customHeight="false" outlineLevel="0" collapsed="false">
      <c r="A36" s="9" t="s">
        <v>125</v>
      </c>
      <c r="B36" s="10" t="s">
        <v>142</v>
      </c>
      <c r="C36" s="9" t="n">
        <f aca="false">COUNTA(D36:CV36)</f>
        <v>2</v>
      </c>
      <c r="CF36" s="11" t="s">
        <v>608</v>
      </c>
      <c r="CJ36" s="11" t="s">
        <v>606</v>
      </c>
    </row>
    <row r="37" customFormat="false" ht="15" hidden="false" customHeight="false" outlineLevel="0" collapsed="false">
      <c r="A37" s="9" t="s">
        <v>125</v>
      </c>
      <c r="B37" s="10" t="s">
        <v>146</v>
      </c>
      <c r="C37" s="9" t="n">
        <f aca="false">COUNTA(D37:CV37)</f>
        <v>1</v>
      </c>
      <c r="CI37" s="11" t="s">
        <v>607</v>
      </c>
    </row>
    <row r="38" customFormat="false" ht="15" hidden="false" customHeight="false" outlineLevel="0" collapsed="false">
      <c r="A38" s="9" t="s">
        <v>125</v>
      </c>
      <c r="B38" s="10" t="s">
        <v>149</v>
      </c>
      <c r="C38" s="9" t="n">
        <f aca="false">COUNTA(D38:CV38)</f>
        <v>3</v>
      </c>
      <c r="M38" s="11" t="s">
        <v>606</v>
      </c>
      <c r="X38" s="11" t="s">
        <v>606</v>
      </c>
      <c r="CI38" s="11" t="s">
        <v>607</v>
      </c>
    </row>
    <row r="39" customFormat="false" ht="15" hidden="false" customHeight="false" outlineLevel="0" collapsed="false">
      <c r="A39" s="9" t="s">
        <v>125</v>
      </c>
      <c r="B39" s="10" t="s">
        <v>153</v>
      </c>
      <c r="C39" s="9" t="n">
        <f aca="false">COUNTA(D39:CV39)</f>
        <v>1</v>
      </c>
      <c r="CH39" s="11" t="s">
        <v>608</v>
      </c>
    </row>
    <row r="40" customFormat="false" ht="15" hidden="false" customHeight="false" outlineLevel="0" collapsed="false">
      <c r="A40" s="9" t="s">
        <v>125</v>
      </c>
      <c r="B40" s="10" t="s">
        <v>156</v>
      </c>
      <c r="C40" s="9" t="n">
        <f aca="false">COUNTA(D40:CV40)</f>
        <v>6</v>
      </c>
      <c r="Y40" s="11" t="s">
        <v>607</v>
      </c>
      <c r="CJ40" s="11" t="s">
        <v>606</v>
      </c>
      <c r="CL40" s="11" t="s">
        <v>608</v>
      </c>
      <c r="CO40" s="11" t="s">
        <v>607</v>
      </c>
      <c r="CP40" s="11" t="s">
        <v>607</v>
      </c>
      <c r="CU40" s="11" t="s">
        <v>608</v>
      </c>
    </row>
    <row r="41" customFormat="false" ht="15" hidden="false" customHeight="false" outlineLevel="0" collapsed="false">
      <c r="A41" s="9" t="s">
        <v>125</v>
      </c>
      <c r="B41" s="10" t="s">
        <v>160</v>
      </c>
      <c r="C41" s="9" t="n">
        <f aca="false">COUNTA(D41:CV41)</f>
        <v>6</v>
      </c>
      <c r="CJ41" s="11" t="s">
        <v>607</v>
      </c>
      <c r="CL41" s="11" t="s">
        <v>608</v>
      </c>
      <c r="CP41" s="11" t="s">
        <v>607</v>
      </c>
      <c r="CR41" s="11" t="s">
        <v>607</v>
      </c>
      <c r="CT41" s="11" t="s">
        <v>607</v>
      </c>
      <c r="CU41" s="11" t="s">
        <v>608</v>
      </c>
    </row>
    <row r="42" customFormat="false" ht="15" hidden="false" customHeight="false" outlineLevel="0" collapsed="false">
      <c r="A42" s="9" t="s">
        <v>125</v>
      </c>
      <c r="B42" s="10" t="s">
        <v>163</v>
      </c>
      <c r="C42" s="9" t="n">
        <f aca="false">COUNTA(D42:CV42)</f>
        <v>2</v>
      </c>
      <c r="Y42" s="11" t="s">
        <v>606</v>
      </c>
      <c r="CL42" s="11" t="s">
        <v>608</v>
      </c>
    </row>
    <row r="43" customFormat="false" ht="15" hidden="false" customHeight="false" outlineLevel="0" collapsed="false">
      <c r="A43" s="9" t="s">
        <v>125</v>
      </c>
      <c r="B43" s="10" t="s">
        <v>167</v>
      </c>
      <c r="C43" s="9" t="n">
        <f aca="false">COUNTA(D43:CV43)</f>
        <v>5</v>
      </c>
      <c r="Q43" s="11" t="s">
        <v>607</v>
      </c>
      <c r="CL43" s="11" t="s">
        <v>606</v>
      </c>
      <c r="CM43" s="11" t="s">
        <v>608</v>
      </c>
      <c r="CT43" s="11" t="s">
        <v>607</v>
      </c>
      <c r="CU43" s="11" t="s">
        <v>606</v>
      </c>
    </row>
    <row r="44" customFormat="false" ht="15" hidden="false" customHeight="false" outlineLevel="0" collapsed="false">
      <c r="A44" s="9" t="s">
        <v>125</v>
      </c>
      <c r="B44" s="10" t="s">
        <v>172</v>
      </c>
      <c r="C44" s="9" t="n">
        <f aca="false">COUNTA(D44:CV44)</f>
        <v>4</v>
      </c>
      <c r="CJ44" s="11" t="s">
        <v>608</v>
      </c>
      <c r="CK44" s="11" t="s">
        <v>608</v>
      </c>
      <c r="CL44" s="11" t="s">
        <v>608</v>
      </c>
      <c r="CU44" s="11" t="s">
        <v>607</v>
      </c>
    </row>
    <row r="45" customFormat="false" ht="15" hidden="false" customHeight="false" outlineLevel="0" collapsed="false">
      <c r="A45" s="9" t="s">
        <v>125</v>
      </c>
      <c r="B45" s="10" t="s">
        <v>176</v>
      </c>
      <c r="C45" s="9" t="n">
        <f aca="false">COUNTA(D45:CV45)</f>
        <v>6</v>
      </c>
      <c r="Z45" s="11" t="s">
        <v>606</v>
      </c>
      <c r="AO45" s="11" t="s">
        <v>606</v>
      </c>
      <c r="BA45" s="11" t="s">
        <v>606</v>
      </c>
      <c r="CL45" s="11" t="s">
        <v>607</v>
      </c>
      <c r="CT45" s="11" t="s">
        <v>608</v>
      </c>
      <c r="CU45" s="11" t="s">
        <v>606</v>
      </c>
    </row>
    <row r="46" customFormat="false" ht="15" hidden="false" customHeight="false" outlineLevel="0" collapsed="false">
      <c r="A46" s="9" t="s">
        <v>125</v>
      </c>
      <c r="B46" s="10" t="s">
        <v>180</v>
      </c>
      <c r="C46" s="9" t="n">
        <f aca="false">COUNTA(D46:CV46)</f>
        <v>4</v>
      </c>
      <c r="Y46" s="11" t="s">
        <v>608</v>
      </c>
      <c r="Z46" s="11" t="s">
        <v>606</v>
      </c>
      <c r="CJ46" s="11" t="s">
        <v>608</v>
      </c>
      <c r="CL46" s="11" t="s">
        <v>606</v>
      </c>
    </row>
    <row r="47" customFormat="false" ht="15" hidden="false" customHeight="false" outlineLevel="0" collapsed="false">
      <c r="A47" s="9" t="s">
        <v>125</v>
      </c>
      <c r="B47" s="10" t="s">
        <v>186</v>
      </c>
      <c r="C47" s="9" t="n">
        <f aca="false">COUNTA(D47:CV47)</f>
        <v>4</v>
      </c>
      <c r="I47" s="11" t="s">
        <v>606</v>
      </c>
      <c r="V47" s="11" t="s">
        <v>606</v>
      </c>
      <c r="CR47" s="11" t="s">
        <v>606</v>
      </c>
      <c r="CT47" s="11" t="s">
        <v>606</v>
      </c>
    </row>
    <row r="48" customFormat="false" ht="15" hidden="false" customHeight="false" outlineLevel="0" collapsed="false">
      <c r="A48" s="9" t="s">
        <v>189</v>
      </c>
      <c r="B48" s="10" t="s">
        <v>190</v>
      </c>
      <c r="C48" s="9" t="n">
        <f aca="false">COUNTA(D48:CV48)</f>
        <v>2</v>
      </c>
      <c r="AP48" s="11" t="s">
        <v>608</v>
      </c>
      <c r="BH48" s="11" t="s">
        <v>608</v>
      </c>
    </row>
    <row r="49" customFormat="false" ht="15" hidden="false" customHeight="false" outlineLevel="0" collapsed="false">
      <c r="A49" s="9" t="s">
        <v>189</v>
      </c>
      <c r="B49" s="10" t="s">
        <v>193</v>
      </c>
      <c r="C49" s="9" t="n">
        <f aca="false">COUNTA(D49:CV49)</f>
        <v>12</v>
      </c>
      <c r="G49" s="11" t="s">
        <v>606</v>
      </c>
      <c r="H49" s="11" t="s">
        <v>608</v>
      </c>
      <c r="I49" s="11" t="s">
        <v>607</v>
      </c>
      <c r="J49" s="11" t="s">
        <v>607</v>
      </c>
      <c r="AD49" s="11" t="s">
        <v>607</v>
      </c>
      <c r="AK49" s="11" t="s">
        <v>606</v>
      </c>
      <c r="AL49" s="11" t="s">
        <v>606</v>
      </c>
      <c r="AN49" s="11" t="s">
        <v>607</v>
      </c>
      <c r="AO49" s="11" t="s">
        <v>607</v>
      </c>
      <c r="AP49" s="11" t="s">
        <v>607</v>
      </c>
      <c r="BI49" s="11" t="s">
        <v>606</v>
      </c>
      <c r="BM49" s="11" t="s">
        <v>606</v>
      </c>
    </row>
    <row r="50" customFormat="false" ht="15" hidden="false" customHeight="false" outlineLevel="0" collapsed="false">
      <c r="A50" s="9" t="s">
        <v>189</v>
      </c>
      <c r="B50" s="10" t="s">
        <v>197</v>
      </c>
      <c r="C50" s="9" t="n">
        <f aca="false">COUNTA(D50:CV50)</f>
        <v>2</v>
      </c>
      <c r="G50" s="11" t="s">
        <v>606</v>
      </c>
      <c r="AR50" s="11" t="s">
        <v>606</v>
      </c>
    </row>
    <row r="51" customFormat="false" ht="15" hidden="false" customHeight="false" outlineLevel="0" collapsed="false">
      <c r="A51" s="9" t="s">
        <v>189</v>
      </c>
      <c r="B51" s="10" t="s">
        <v>200</v>
      </c>
      <c r="C51" s="9" t="n">
        <f aca="false">COUNTA(D51:CV51)</f>
        <v>2</v>
      </c>
      <c r="G51" s="11" t="s">
        <v>607</v>
      </c>
      <c r="W51" s="11" t="s">
        <v>606</v>
      </c>
    </row>
    <row r="52" customFormat="false" ht="15" hidden="false" customHeight="false" outlineLevel="0" collapsed="false">
      <c r="A52" s="9" t="s">
        <v>189</v>
      </c>
      <c r="B52" s="10" t="s">
        <v>203</v>
      </c>
      <c r="C52" s="9" t="n">
        <f aca="false">COUNTA(D52:CV52)</f>
        <v>8</v>
      </c>
      <c r="D52" s="11" t="s">
        <v>606</v>
      </c>
      <c r="I52" s="11" t="s">
        <v>608</v>
      </c>
      <c r="J52" s="11" t="s">
        <v>606</v>
      </c>
      <c r="AA52" s="11" t="s">
        <v>606</v>
      </c>
      <c r="AE52" s="11" t="s">
        <v>606</v>
      </c>
      <c r="AH52" s="11" t="s">
        <v>607</v>
      </c>
      <c r="AP52" s="11" t="s">
        <v>608</v>
      </c>
      <c r="AR52" s="11" t="s">
        <v>608</v>
      </c>
    </row>
    <row r="53" customFormat="false" ht="15" hidden="false" customHeight="false" outlineLevel="0" collapsed="false">
      <c r="A53" s="9" t="s">
        <v>189</v>
      </c>
      <c r="B53" s="10" t="s">
        <v>208</v>
      </c>
      <c r="C53" s="9" t="n">
        <f aca="false">COUNTA(D53:CV53)</f>
        <v>22</v>
      </c>
      <c r="D53" s="11" t="s">
        <v>606</v>
      </c>
      <c r="I53" s="11" t="s">
        <v>608</v>
      </c>
      <c r="V53" s="11" t="s">
        <v>608</v>
      </c>
      <c r="Y53" s="11" t="s">
        <v>608</v>
      </c>
      <c r="AE53" s="11" t="s">
        <v>606</v>
      </c>
      <c r="AI53" s="11" t="s">
        <v>606</v>
      </c>
      <c r="AL53" s="11" t="s">
        <v>607</v>
      </c>
      <c r="AP53" s="11" t="s">
        <v>606</v>
      </c>
      <c r="AV53" s="11" t="s">
        <v>606</v>
      </c>
      <c r="BF53" s="11" t="s">
        <v>606</v>
      </c>
      <c r="BI53" s="11" t="s">
        <v>608</v>
      </c>
      <c r="BJ53" s="11" t="s">
        <v>607</v>
      </c>
      <c r="BK53" s="11" t="s">
        <v>606</v>
      </c>
      <c r="BM53" s="11" t="s">
        <v>607</v>
      </c>
      <c r="BS53" s="11" t="s">
        <v>606</v>
      </c>
      <c r="BT53" s="11" t="s">
        <v>607</v>
      </c>
      <c r="BY53" s="11" t="s">
        <v>606</v>
      </c>
      <c r="CI53" s="11" t="s">
        <v>607</v>
      </c>
      <c r="CR53" s="11" t="s">
        <v>607</v>
      </c>
      <c r="CT53" s="11" t="s">
        <v>608</v>
      </c>
      <c r="CU53" s="11" t="s">
        <v>607</v>
      </c>
      <c r="CV53" s="11" t="s">
        <v>607</v>
      </c>
    </row>
    <row r="54" customFormat="false" ht="15" hidden="false" customHeight="false" outlineLevel="0" collapsed="false">
      <c r="A54" s="9" t="s">
        <v>189</v>
      </c>
      <c r="B54" s="10" t="s">
        <v>214</v>
      </c>
      <c r="C54" s="9" t="n">
        <f aca="false">COUNTA(D54:CV54)</f>
        <v>4</v>
      </c>
      <c r="D54" s="11" t="s">
        <v>606</v>
      </c>
      <c r="I54" s="11" t="s">
        <v>608</v>
      </c>
      <c r="J54" s="11" t="s">
        <v>606</v>
      </c>
      <c r="AB54" s="11" t="s">
        <v>606</v>
      </c>
    </row>
    <row r="55" customFormat="false" ht="15" hidden="false" customHeight="false" outlineLevel="0" collapsed="false">
      <c r="A55" s="9" t="s">
        <v>189</v>
      </c>
      <c r="B55" s="10" t="s">
        <v>217</v>
      </c>
      <c r="C55" s="9" t="n">
        <f aca="false">COUNTA(D55:CV55)</f>
        <v>6</v>
      </c>
      <c r="J55" s="11" t="s">
        <v>608</v>
      </c>
      <c r="AD55" s="11" t="s">
        <v>607</v>
      </c>
      <c r="AH55" s="11" t="s">
        <v>607</v>
      </c>
      <c r="AM55" s="11" t="s">
        <v>606</v>
      </c>
      <c r="AQ55" s="11" t="s">
        <v>607</v>
      </c>
      <c r="AR55" s="11" t="s">
        <v>606</v>
      </c>
    </row>
    <row r="56" customFormat="false" ht="15" hidden="false" customHeight="false" outlineLevel="0" collapsed="false">
      <c r="A56" s="9" t="s">
        <v>189</v>
      </c>
      <c r="B56" s="10" t="s">
        <v>223</v>
      </c>
      <c r="C56" s="9" t="n">
        <f aca="false">COUNTA(D56:CV56)</f>
        <v>6</v>
      </c>
      <c r="I56" s="11" t="s">
        <v>607</v>
      </c>
      <c r="J56" s="11" t="s">
        <v>608</v>
      </c>
      <c r="AJ56" s="11" t="s">
        <v>606</v>
      </c>
      <c r="AK56" s="11" t="s">
        <v>606</v>
      </c>
      <c r="AQ56" s="11" t="s">
        <v>606</v>
      </c>
      <c r="AR56" s="11" t="s">
        <v>606</v>
      </c>
    </row>
    <row r="57" customFormat="false" ht="15" hidden="false" customHeight="false" outlineLevel="0" collapsed="false">
      <c r="A57" s="9" t="s">
        <v>189</v>
      </c>
      <c r="B57" s="10" t="s">
        <v>228</v>
      </c>
      <c r="C57" s="9" t="n">
        <f aca="false">COUNTA(D57:CV57)</f>
        <v>1</v>
      </c>
      <c r="J57" s="11" t="s">
        <v>607</v>
      </c>
    </row>
    <row r="58" customFormat="false" ht="15" hidden="false" customHeight="false" outlineLevel="0" collapsed="false">
      <c r="A58" s="9" t="s">
        <v>189</v>
      </c>
      <c r="B58" s="10" t="s">
        <v>230</v>
      </c>
      <c r="C58" s="9" t="n">
        <f aca="false">COUNTA(D58:CV58)</f>
        <v>11</v>
      </c>
      <c r="J58" s="11" t="s">
        <v>608</v>
      </c>
      <c r="AD58" s="11" t="s">
        <v>608</v>
      </c>
      <c r="AH58" s="11" t="s">
        <v>608</v>
      </c>
      <c r="AK58" s="11" t="s">
        <v>606</v>
      </c>
      <c r="AM58" s="11" t="s">
        <v>608</v>
      </c>
      <c r="AN58" s="11" t="s">
        <v>608</v>
      </c>
      <c r="AP58" s="11" t="s">
        <v>608</v>
      </c>
      <c r="AQ58" s="11" t="s">
        <v>608</v>
      </c>
      <c r="AR58" s="11" t="s">
        <v>608</v>
      </c>
      <c r="BF58" s="11" t="s">
        <v>606</v>
      </c>
      <c r="BM58" s="11" t="s">
        <v>608</v>
      </c>
    </row>
    <row r="59" customFormat="false" ht="15" hidden="false" customHeight="false" outlineLevel="0" collapsed="false">
      <c r="A59" s="9" t="s">
        <v>189</v>
      </c>
      <c r="B59" s="10" t="s">
        <v>236</v>
      </c>
      <c r="C59" s="9" t="n">
        <f aca="false">COUNTA(D59:CV59)</f>
        <v>19</v>
      </c>
      <c r="D59" s="11" t="s">
        <v>606</v>
      </c>
      <c r="G59" s="11" t="s">
        <v>606</v>
      </c>
      <c r="H59" s="11" t="s">
        <v>606</v>
      </c>
      <c r="I59" s="11" t="s">
        <v>607</v>
      </c>
      <c r="J59" s="11" t="s">
        <v>608</v>
      </c>
      <c r="V59" s="11" t="s">
        <v>607</v>
      </c>
      <c r="W59" s="11" t="s">
        <v>606</v>
      </c>
      <c r="AD59" s="11" t="s">
        <v>607</v>
      </c>
      <c r="AE59" s="11" t="s">
        <v>606</v>
      </c>
      <c r="AH59" s="11" t="s">
        <v>607</v>
      </c>
      <c r="AK59" s="11" t="s">
        <v>607</v>
      </c>
      <c r="AM59" s="11" t="s">
        <v>606</v>
      </c>
      <c r="AQ59" s="11" t="s">
        <v>606</v>
      </c>
      <c r="AR59" s="11" t="s">
        <v>608</v>
      </c>
      <c r="BF59" s="11" t="s">
        <v>606</v>
      </c>
      <c r="BR59" s="11" t="s">
        <v>606</v>
      </c>
      <c r="BW59" s="11" t="s">
        <v>608</v>
      </c>
      <c r="CD59" s="11" t="s">
        <v>607</v>
      </c>
      <c r="CO59" s="11" t="s">
        <v>606</v>
      </c>
    </row>
    <row r="60" customFormat="false" ht="15" hidden="false" customHeight="false" outlineLevel="0" collapsed="false">
      <c r="A60" s="9" t="s">
        <v>189</v>
      </c>
      <c r="B60" s="10" t="s">
        <v>242</v>
      </c>
      <c r="C60" s="9" t="n">
        <f aca="false">COUNTA(D60:CV60)</f>
        <v>5</v>
      </c>
      <c r="D60" s="11" t="s">
        <v>606</v>
      </c>
      <c r="J60" s="11" t="s">
        <v>606</v>
      </c>
      <c r="AE60" s="11" t="s">
        <v>608</v>
      </c>
      <c r="AH60" s="11" t="s">
        <v>608</v>
      </c>
      <c r="BH60" s="11" t="s">
        <v>608</v>
      </c>
    </row>
    <row r="61" customFormat="false" ht="15" hidden="false" customHeight="false" outlineLevel="0" collapsed="false">
      <c r="A61" s="9" t="s">
        <v>189</v>
      </c>
      <c r="B61" s="10" t="s">
        <v>246</v>
      </c>
      <c r="C61" s="9" t="n">
        <f aca="false">COUNTA(D61:CV61)</f>
        <v>7</v>
      </c>
      <c r="G61" s="11" t="s">
        <v>606</v>
      </c>
      <c r="I61" s="11" t="s">
        <v>607</v>
      </c>
      <c r="AH61" s="11" t="s">
        <v>606</v>
      </c>
      <c r="AK61" s="11" t="s">
        <v>608</v>
      </c>
      <c r="AM61" s="11" t="s">
        <v>608</v>
      </c>
      <c r="AR61" s="11" t="s">
        <v>606</v>
      </c>
      <c r="BI61" s="11" t="s">
        <v>607</v>
      </c>
    </row>
    <row r="62" customFormat="false" ht="15" hidden="false" customHeight="false" outlineLevel="0" collapsed="false">
      <c r="A62" s="9" t="s">
        <v>189</v>
      </c>
      <c r="B62" s="10" t="s">
        <v>251</v>
      </c>
      <c r="C62" s="9" t="n">
        <f aca="false">COUNTA(D62:CV62)</f>
        <v>3</v>
      </c>
      <c r="AE62" s="11" t="s">
        <v>606</v>
      </c>
      <c r="AR62" s="11" t="s">
        <v>607</v>
      </c>
      <c r="BS62" s="11" t="s">
        <v>606</v>
      </c>
    </row>
    <row r="63" customFormat="false" ht="15" hidden="false" customHeight="false" outlineLevel="0" collapsed="false">
      <c r="A63" s="9" t="s">
        <v>189</v>
      </c>
      <c r="B63" s="10" t="s">
        <v>254</v>
      </c>
      <c r="C63" s="9" t="n">
        <f aca="false">COUNTA(D63:CV63)</f>
        <v>2</v>
      </c>
      <c r="BS63" s="11" t="s">
        <v>607</v>
      </c>
      <c r="BT63" s="11" t="s">
        <v>606</v>
      </c>
    </row>
    <row r="64" customFormat="false" ht="15" hidden="false" customHeight="false" outlineLevel="0" collapsed="false">
      <c r="A64" s="9" t="s">
        <v>189</v>
      </c>
      <c r="B64" s="10" t="s">
        <v>257</v>
      </c>
      <c r="C64" s="9" t="n">
        <f aca="false">COUNTA(D64:CV64)</f>
        <v>17</v>
      </c>
      <c r="H64" s="11" t="s">
        <v>608</v>
      </c>
      <c r="M64" s="11" t="s">
        <v>607</v>
      </c>
      <c r="AE64" s="11" t="s">
        <v>607</v>
      </c>
      <c r="AI64" s="11" t="s">
        <v>608</v>
      </c>
      <c r="AK64" s="11" t="s">
        <v>608</v>
      </c>
      <c r="AM64" s="11" t="s">
        <v>606</v>
      </c>
      <c r="AN64" s="11" t="s">
        <v>606</v>
      </c>
      <c r="AO64" s="11" t="s">
        <v>606</v>
      </c>
      <c r="AP64" s="11" t="s">
        <v>607</v>
      </c>
      <c r="AQ64" s="11" t="s">
        <v>606</v>
      </c>
      <c r="BH64" s="11" t="s">
        <v>606</v>
      </c>
      <c r="BV64" s="11" t="s">
        <v>606</v>
      </c>
      <c r="CH64" s="11" t="s">
        <v>607</v>
      </c>
      <c r="CJ64" s="11" t="s">
        <v>608</v>
      </c>
      <c r="CK64" s="11" t="s">
        <v>606</v>
      </c>
      <c r="CM64" s="11" t="s">
        <v>606</v>
      </c>
      <c r="CV64" s="11" t="s">
        <v>606</v>
      </c>
    </row>
    <row r="65" customFormat="false" ht="15" hidden="false" customHeight="false" outlineLevel="0" collapsed="false">
      <c r="A65" s="9" t="s">
        <v>189</v>
      </c>
      <c r="B65" s="10" t="s">
        <v>263</v>
      </c>
      <c r="C65" s="9" t="n">
        <f aca="false">COUNTA(D65:CV65)</f>
        <v>6</v>
      </c>
      <c r="H65" s="11" t="s">
        <v>606</v>
      </c>
      <c r="I65" s="11" t="s">
        <v>606</v>
      </c>
      <c r="AA65" s="11" t="s">
        <v>606</v>
      </c>
      <c r="AI65" s="11" t="s">
        <v>608</v>
      </c>
      <c r="AW65" s="11" t="s">
        <v>606</v>
      </c>
      <c r="CP65" s="11" t="s">
        <v>606</v>
      </c>
    </row>
    <row r="66" customFormat="false" ht="15" hidden="false" customHeight="false" outlineLevel="0" collapsed="false">
      <c r="A66" s="9" t="s">
        <v>189</v>
      </c>
      <c r="B66" s="10" t="s">
        <v>269</v>
      </c>
      <c r="C66" s="9" t="n">
        <f aca="false">COUNTA(D66:CV66)</f>
        <v>4</v>
      </c>
      <c r="AI66" s="11" t="s">
        <v>607</v>
      </c>
      <c r="BH66" s="11" t="s">
        <v>606</v>
      </c>
      <c r="CT66" s="11" t="s">
        <v>607</v>
      </c>
      <c r="CU66" s="11" t="s">
        <v>606</v>
      </c>
    </row>
    <row r="67" customFormat="false" ht="15" hidden="false" customHeight="false" outlineLevel="0" collapsed="false">
      <c r="A67" s="9" t="s">
        <v>189</v>
      </c>
      <c r="B67" s="10" t="s">
        <v>272</v>
      </c>
      <c r="C67" s="9" t="n">
        <f aca="false">COUNTA(D67:CV67)</f>
        <v>9</v>
      </c>
      <c r="G67" s="11" t="s">
        <v>606</v>
      </c>
      <c r="H67" s="11" t="s">
        <v>607</v>
      </c>
      <c r="J67" s="11" t="s">
        <v>606</v>
      </c>
      <c r="AD67" s="11" t="s">
        <v>607</v>
      </c>
      <c r="AQ67" s="11" t="s">
        <v>607</v>
      </c>
      <c r="AR67" s="11" t="s">
        <v>606</v>
      </c>
      <c r="BK67" s="11" t="s">
        <v>606</v>
      </c>
      <c r="BN67" s="11" t="s">
        <v>606</v>
      </c>
      <c r="CB67" s="11" t="s">
        <v>606</v>
      </c>
    </row>
    <row r="68" customFormat="false" ht="15" hidden="false" customHeight="false" outlineLevel="0" collapsed="false">
      <c r="A68" s="9" t="s">
        <v>189</v>
      </c>
      <c r="B68" s="10" t="s">
        <v>276</v>
      </c>
      <c r="C68" s="9" t="n">
        <f aca="false">COUNTA(D68:CV68)</f>
        <v>5</v>
      </c>
      <c r="I68" s="11" t="s">
        <v>607</v>
      </c>
      <c r="AA68" s="11" t="s">
        <v>606</v>
      </c>
      <c r="AJ68" s="11" t="s">
        <v>608</v>
      </c>
      <c r="CF68" s="11" t="s">
        <v>606</v>
      </c>
      <c r="CG68" s="11" t="s">
        <v>606</v>
      </c>
    </row>
    <row r="69" customFormat="false" ht="15" hidden="false" customHeight="false" outlineLevel="0" collapsed="false">
      <c r="A69" s="9" t="s">
        <v>189</v>
      </c>
      <c r="B69" s="10" t="s">
        <v>279</v>
      </c>
      <c r="C69" s="9" t="n">
        <f aca="false">COUNTA(D69:CV69)</f>
        <v>3</v>
      </c>
      <c r="G69" s="11" t="s">
        <v>606</v>
      </c>
      <c r="H69" s="11" t="s">
        <v>606</v>
      </c>
      <c r="AJ69" s="11" t="s">
        <v>608</v>
      </c>
    </row>
    <row r="70" customFormat="false" ht="15" hidden="false" customHeight="false" outlineLevel="0" collapsed="false">
      <c r="A70" s="9" t="s">
        <v>189</v>
      </c>
      <c r="B70" s="10" t="s">
        <v>283</v>
      </c>
      <c r="C70" s="9" t="n">
        <f aca="false">COUNTA(D70:CV70)</f>
        <v>4</v>
      </c>
      <c r="AJ70" s="11" t="s">
        <v>608</v>
      </c>
      <c r="AV70" s="11" t="s">
        <v>608</v>
      </c>
      <c r="AX70" s="11" t="s">
        <v>608</v>
      </c>
      <c r="BR70" s="11" t="s">
        <v>606</v>
      </c>
    </row>
    <row r="71" customFormat="false" ht="15" hidden="false" customHeight="false" outlineLevel="0" collapsed="false">
      <c r="A71" s="9" t="s">
        <v>189</v>
      </c>
      <c r="B71" s="10" t="s">
        <v>287</v>
      </c>
      <c r="C71" s="9" t="n">
        <f aca="false">COUNTA(D71:CV71)</f>
        <v>6</v>
      </c>
      <c r="AH71" s="11" t="s">
        <v>606</v>
      </c>
      <c r="AJ71" s="11" t="s">
        <v>606</v>
      </c>
      <c r="AM71" s="11" t="s">
        <v>608</v>
      </c>
      <c r="AQ71" s="11" t="s">
        <v>607</v>
      </c>
      <c r="AR71" s="11" t="s">
        <v>608</v>
      </c>
      <c r="BS71" s="11" t="s">
        <v>606</v>
      </c>
    </row>
    <row r="72" customFormat="false" ht="15" hidden="false" customHeight="false" outlineLevel="0" collapsed="false">
      <c r="A72" s="9" t="s">
        <v>189</v>
      </c>
      <c r="B72" s="10" t="s">
        <v>291</v>
      </c>
      <c r="C72" s="9" t="n">
        <f aca="false">COUNTA(D72:CV72)</f>
        <v>2</v>
      </c>
      <c r="AK72" s="11" t="s">
        <v>608</v>
      </c>
      <c r="AQ72" s="11" t="s">
        <v>606</v>
      </c>
    </row>
    <row r="73" customFormat="false" ht="15" hidden="false" customHeight="false" outlineLevel="0" collapsed="false">
      <c r="A73" s="9" t="s">
        <v>189</v>
      </c>
      <c r="B73" s="10" t="s">
        <v>297</v>
      </c>
      <c r="C73" s="9" t="n">
        <f aca="false">COUNTA(D73:CV73)</f>
        <v>3</v>
      </c>
      <c r="W73" s="11" t="s">
        <v>607</v>
      </c>
      <c r="AK73" s="11" t="s">
        <v>608</v>
      </c>
      <c r="AR73" s="11" t="s">
        <v>607</v>
      </c>
    </row>
    <row r="74" customFormat="false" ht="15" hidden="false" customHeight="false" outlineLevel="0" collapsed="false">
      <c r="A74" s="9" t="s">
        <v>189</v>
      </c>
      <c r="B74" s="10" t="s">
        <v>300</v>
      </c>
      <c r="C74" s="9" t="n">
        <f aca="false">COUNTA(D74:CV74)</f>
        <v>4</v>
      </c>
      <c r="I74" s="11" t="s">
        <v>606</v>
      </c>
      <c r="W74" s="11" t="s">
        <v>607</v>
      </c>
      <c r="AK74" s="11" t="s">
        <v>608</v>
      </c>
      <c r="AQ74" s="11" t="s">
        <v>606</v>
      </c>
    </row>
    <row r="75" customFormat="false" ht="15" hidden="false" customHeight="false" outlineLevel="0" collapsed="false">
      <c r="A75" s="9" t="s">
        <v>189</v>
      </c>
      <c r="B75" s="10" t="s">
        <v>303</v>
      </c>
      <c r="C75" s="9" t="n">
        <f aca="false">COUNTA(D75:CV75)</f>
        <v>2</v>
      </c>
      <c r="H75" s="11" t="s">
        <v>607</v>
      </c>
      <c r="AQ75" s="11" t="s">
        <v>608</v>
      </c>
    </row>
    <row r="76" customFormat="false" ht="15" hidden="false" customHeight="false" outlineLevel="0" collapsed="false">
      <c r="A76" s="9" t="s">
        <v>189</v>
      </c>
      <c r="B76" s="10" t="s">
        <v>306</v>
      </c>
      <c r="C76" s="9" t="n">
        <f aca="false">COUNTA(D76:CV76)</f>
        <v>2</v>
      </c>
      <c r="I76" s="11" t="s">
        <v>607</v>
      </c>
      <c r="CV76" s="11" t="s">
        <v>607</v>
      </c>
    </row>
    <row r="77" customFormat="false" ht="15" hidden="false" customHeight="false" outlineLevel="0" collapsed="false">
      <c r="A77" s="9" t="s">
        <v>189</v>
      </c>
      <c r="B77" s="10" t="s">
        <v>309</v>
      </c>
      <c r="C77" s="9" t="n">
        <f aca="false">COUNTA(D77:CV77)</f>
        <v>2</v>
      </c>
      <c r="AL77" s="11" t="s">
        <v>608</v>
      </c>
      <c r="BJ77" s="11" t="s">
        <v>606</v>
      </c>
    </row>
    <row r="78" customFormat="false" ht="15" hidden="false" customHeight="false" outlineLevel="0" collapsed="false">
      <c r="A78" s="9" t="s">
        <v>189</v>
      </c>
      <c r="B78" s="10" t="s">
        <v>313</v>
      </c>
      <c r="C78" s="9" t="n">
        <f aca="false">COUNTA(D78:CV78)</f>
        <v>5</v>
      </c>
      <c r="AK78" s="11" t="s">
        <v>606</v>
      </c>
      <c r="AM78" s="11" t="s">
        <v>606</v>
      </c>
      <c r="AN78" s="11" t="s">
        <v>606</v>
      </c>
      <c r="CU78" s="11" t="s">
        <v>606</v>
      </c>
      <c r="CV78" s="11" t="s">
        <v>606</v>
      </c>
    </row>
    <row r="79" customFormat="false" ht="15" hidden="false" customHeight="false" outlineLevel="0" collapsed="false">
      <c r="A79" s="9" t="s">
        <v>316</v>
      </c>
      <c r="B79" s="10" t="s">
        <v>317</v>
      </c>
      <c r="C79" s="9" t="n">
        <f aca="false">COUNTA(D79:CV79)</f>
        <v>5</v>
      </c>
      <c r="D79" s="11" t="s">
        <v>606</v>
      </c>
      <c r="I79" s="11" t="s">
        <v>606</v>
      </c>
      <c r="J79" s="11" t="s">
        <v>607</v>
      </c>
      <c r="P79" s="11" t="s">
        <v>607</v>
      </c>
      <c r="AC79" s="11" t="s">
        <v>608</v>
      </c>
    </row>
    <row r="80" customFormat="false" ht="15" hidden="false" customHeight="false" outlineLevel="0" collapsed="false">
      <c r="A80" s="9" t="s">
        <v>316</v>
      </c>
      <c r="B80" s="10" t="s">
        <v>322</v>
      </c>
      <c r="C80" s="9" t="n">
        <f aca="false">COUNTA(D80:CV80)</f>
        <v>2</v>
      </c>
      <c r="AC80" s="11" t="s">
        <v>608</v>
      </c>
      <c r="AD80" s="11" t="s">
        <v>608</v>
      </c>
    </row>
    <row r="81" customFormat="false" ht="15" hidden="false" customHeight="false" outlineLevel="0" collapsed="false">
      <c r="A81" s="9" t="s">
        <v>316</v>
      </c>
      <c r="B81" s="10" t="s">
        <v>325</v>
      </c>
      <c r="C81" s="9" t="n">
        <f aca="false">COUNTA(D81:CV81)</f>
        <v>3</v>
      </c>
      <c r="AA81" s="11" t="s">
        <v>606</v>
      </c>
      <c r="AC81" s="11" t="s">
        <v>608</v>
      </c>
      <c r="BJ81" s="11" t="s">
        <v>607</v>
      </c>
    </row>
    <row r="82" customFormat="false" ht="15" hidden="false" customHeight="false" outlineLevel="0" collapsed="false">
      <c r="A82" s="9" t="s">
        <v>316</v>
      </c>
      <c r="B82" s="10" t="s">
        <v>330</v>
      </c>
      <c r="C82" s="9" t="n">
        <f aca="false">COUNTA(D82:CV82)</f>
        <v>5</v>
      </c>
      <c r="J82" s="11" t="s">
        <v>606</v>
      </c>
      <c r="Q82" s="11" t="s">
        <v>606</v>
      </c>
      <c r="AB82" s="11" t="s">
        <v>608</v>
      </c>
      <c r="AD82" s="11" t="s">
        <v>608</v>
      </c>
      <c r="BD82" s="11" t="s">
        <v>606</v>
      </c>
    </row>
    <row r="83" customFormat="false" ht="15" hidden="false" customHeight="false" outlineLevel="0" collapsed="false">
      <c r="A83" s="9" t="s">
        <v>316</v>
      </c>
      <c r="B83" s="10" t="s">
        <v>335</v>
      </c>
      <c r="C83" s="9" t="n">
        <f aca="false">COUNTA(D83:CV83)</f>
        <v>2</v>
      </c>
      <c r="AD83" s="11" t="s">
        <v>607</v>
      </c>
      <c r="AQ83" s="11" t="s">
        <v>607</v>
      </c>
    </row>
    <row r="84" customFormat="false" ht="15" hidden="false" customHeight="false" outlineLevel="0" collapsed="false">
      <c r="A84" s="9" t="s">
        <v>339</v>
      </c>
      <c r="B84" s="10" t="s">
        <v>340</v>
      </c>
      <c r="C84" s="9" t="n">
        <f aca="false">COUNTA(D84:CV84)</f>
        <v>4</v>
      </c>
      <c r="G84" s="11" t="s">
        <v>607</v>
      </c>
      <c r="H84" s="11" t="s">
        <v>606</v>
      </c>
      <c r="BV84" s="11" t="s">
        <v>606</v>
      </c>
      <c r="CV84" s="11" t="s">
        <v>606</v>
      </c>
    </row>
    <row r="85" customFormat="false" ht="15" hidden="false" customHeight="false" outlineLevel="0" collapsed="false">
      <c r="A85" s="9" t="s">
        <v>339</v>
      </c>
      <c r="B85" s="10" t="s">
        <v>343</v>
      </c>
      <c r="C85" s="9" t="n">
        <f aca="false">COUNTA(D85:CV85)</f>
        <v>4</v>
      </c>
      <c r="AS85" s="11" t="s">
        <v>608</v>
      </c>
      <c r="AT85" s="11" t="s">
        <v>607</v>
      </c>
      <c r="AU85" s="11" t="s">
        <v>607</v>
      </c>
      <c r="BJ85" s="11" t="s">
        <v>606</v>
      </c>
    </row>
    <row r="86" customFormat="false" ht="15" hidden="false" customHeight="false" outlineLevel="0" collapsed="false">
      <c r="A86" s="9" t="s">
        <v>339</v>
      </c>
      <c r="B86" s="10" t="s">
        <v>348</v>
      </c>
      <c r="C86" s="9" t="n">
        <f aca="false">COUNTA(D86:CV86)</f>
        <v>8</v>
      </c>
      <c r="I86" s="11" t="s">
        <v>606</v>
      </c>
      <c r="W86" s="11" t="s">
        <v>606</v>
      </c>
      <c r="AE86" s="11" t="s">
        <v>608</v>
      </c>
      <c r="AK86" s="11" t="s">
        <v>607</v>
      </c>
      <c r="AR86" s="11" t="s">
        <v>607</v>
      </c>
      <c r="AS86" s="11" t="s">
        <v>608</v>
      </c>
      <c r="BU86" s="11" t="s">
        <v>607</v>
      </c>
      <c r="BW86" s="11" t="s">
        <v>607</v>
      </c>
    </row>
    <row r="87" customFormat="false" ht="15" hidden="false" customHeight="false" outlineLevel="0" collapsed="false">
      <c r="A87" s="9" t="s">
        <v>339</v>
      </c>
      <c r="B87" s="10" t="s">
        <v>352</v>
      </c>
      <c r="C87" s="9" t="n">
        <f aca="false">COUNTA(D87:CV87)</f>
        <v>6</v>
      </c>
      <c r="W87" s="11" t="s">
        <v>606</v>
      </c>
      <c r="AE87" s="11" t="s">
        <v>608</v>
      </c>
      <c r="AK87" s="11" t="s">
        <v>608</v>
      </c>
      <c r="AN87" s="11" t="s">
        <v>608</v>
      </c>
      <c r="AO87" s="11" t="s">
        <v>606</v>
      </c>
      <c r="CT87" s="11" t="s">
        <v>607</v>
      </c>
    </row>
    <row r="88" customFormat="false" ht="15" hidden="false" customHeight="false" outlineLevel="0" collapsed="false">
      <c r="A88" s="9" t="s">
        <v>339</v>
      </c>
      <c r="B88" s="10" t="s">
        <v>357</v>
      </c>
      <c r="C88" s="9" t="n">
        <f aca="false">COUNTA(D88:CV88)</f>
        <v>6</v>
      </c>
      <c r="S88" s="11" t="s">
        <v>606</v>
      </c>
      <c r="AN88" s="11" t="s">
        <v>608</v>
      </c>
      <c r="AP88" s="11" t="s">
        <v>606</v>
      </c>
      <c r="AT88" s="11" t="s">
        <v>608</v>
      </c>
      <c r="BO88" s="11" t="s">
        <v>606</v>
      </c>
      <c r="BU88" s="11" t="s">
        <v>606</v>
      </c>
    </row>
    <row r="89" customFormat="false" ht="15" hidden="false" customHeight="false" outlineLevel="0" collapsed="false">
      <c r="A89" s="9" t="s">
        <v>339</v>
      </c>
      <c r="B89" s="10" t="s">
        <v>363</v>
      </c>
      <c r="C89" s="9" t="n">
        <f aca="false">COUNTA(D89:CV89)</f>
        <v>4</v>
      </c>
      <c r="K89" s="11" t="s">
        <v>606</v>
      </c>
      <c r="L89" s="11" t="s">
        <v>606</v>
      </c>
      <c r="AK89" s="11" t="s">
        <v>606</v>
      </c>
      <c r="AT89" s="11" t="s">
        <v>607</v>
      </c>
    </row>
    <row r="90" customFormat="false" ht="15" hidden="false" customHeight="false" outlineLevel="0" collapsed="false">
      <c r="A90" s="9" t="s">
        <v>339</v>
      </c>
      <c r="B90" s="10" t="s">
        <v>366</v>
      </c>
      <c r="C90" s="9" t="n">
        <f aca="false">COUNTA(D90:CV90)</f>
        <v>3</v>
      </c>
      <c r="J90" s="11" t="s">
        <v>606</v>
      </c>
      <c r="AT90" s="11" t="s">
        <v>608</v>
      </c>
      <c r="CB90" s="11" t="s">
        <v>606</v>
      </c>
    </row>
    <row r="91" customFormat="false" ht="15" hidden="false" customHeight="false" outlineLevel="0" collapsed="false">
      <c r="A91" s="9" t="s">
        <v>339</v>
      </c>
      <c r="B91" s="10" t="s">
        <v>370</v>
      </c>
      <c r="C91" s="9" t="n">
        <f aca="false">COUNTA(D91:CV91)</f>
        <v>2</v>
      </c>
      <c r="Q91" s="11" t="s">
        <v>606</v>
      </c>
      <c r="AT91" s="11" t="s">
        <v>606</v>
      </c>
    </row>
    <row r="92" customFormat="false" ht="15" hidden="false" customHeight="false" outlineLevel="0" collapsed="false">
      <c r="A92" s="9" t="s">
        <v>373</v>
      </c>
      <c r="B92" s="10" t="s">
        <v>374</v>
      </c>
      <c r="C92" s="9" t="n">
        <f aca="false">COUNTA(D92:CV92)</f>
        <v>3</v>
      </c>
      <c r="BC92" s="11" t="s">
        <v>606</v>
      </c>
      <c r="BL92" s="11" t="s">
        <v>606</v>
      </c>
      <c r="CA92" s="11" t="s">
        <v>606</v>
      </c>
    </row>
    <row r="93" customFormat="false" ht="15" hidden="false" customHeight="false" outlineLevel="0" collapsed="false">
      <c r="A93" s="9" t="s">
        <v>373</v>
      </c>
      <c r="B93" s="10" t="s">
        <v>377</v>
      </c>
      <c r="C93" s="9" t="n">
        <f aca="false">COUNTA(D93:CV93)</f>
        <v>5</v>
      </c>
      <c r="BB93" s="11" t="s">
        <v>606</v>
      </c>
      <c r="BC93" s="11" t="s">
        <v>607</v>
      </c>
      <c r="BD93" s="11" t="s">
        <v>606</v>
      </c>
      <c r="BX93" s="11" t="s">
        <v>606</v>
      </c>
      <c r="CC93" s="11" t="s">
        <v>606</v>
      </c>
    </row>
    <row r="94" customFormat="false" ht="15" hidden="false" customHeight="false" outlineLevel="0" collapsed="false">
      <c r="A94" s="9" t="s">
        <v>373</v>
      </c>
      <c r="B94" s="10" t="s">
        <v>380</v>
      </c>
      <c r="C94" s="9" t="n">
        <f aca="false">COUNTA(D94:CV94)</f>
        <v>3</v>
      </c>
      <c r="N94" s="11" t="s">
        <v>606</v>
      </c>
      <c r="AG94" s="11" t="s">
        <v>608</v>
      </c>
      <c r="BV94" s="11" t="s">
        <v>607</v>
      </c>
    </row>
    <row r="95" customFormat="false" ht="15" hidden="false" customHeight="false" outlineLevel="0" collapsed="false">
      <c r="A95" s="9" t="s">
        <v>384</v>
      </c>
      <c r="B95" s="10" t="s">
        <v>385</v>
      </c>
      <c r="C95" s="9" t="n">
        <f aca="false">COUNTA(D95:CV95)</f>
        <v>4</v>
      </c>
      <c r="E95" s="11" t="s">
        <v>607</v>
      </c>
      <c r="AY95" s="11" t="s">
        <v>608</v>
      </c>
      <c r="AZ95" s="11" t="s">
        <v>606</v>
      </c>
      <c r="BA95" s="11" t="s">
        <v>607</v>
      </c>
    </row>
    <row r="96" customFormat="false" ht="15" hidden="false" customHeight="false" outlineLevel="0" collapsed="false">
      <c r="A96" s="9" t="s">
        <v>384</v>
      </c>
      <c r="B96" s="10" t="s">
        <v>391</v>
      </c>
      <c r="C96" s="9" t="n">
        <f aca="false">COUNTA(D96:CV96)</f>
        <v>3</v>
      </c>
      <c r="AQ96" s="11" t="s">
        <v>606</v>
      </c>
      <c r="AY96" s="11" t="s">
        <v>608</v>
      </c>
      <c r="BL96" s="11" t="s">
        <v>606</v>
      </c>
    </row>
    <row r="97" customFormat="false" ht="15" hidden="false" customHeight="false" outlineLevel="0" collapsed="false">
      <c r="A97" s="9" t="s">
        <v>384</v>
      </c>
      <c r="B97" s="10" t="s">
        <v>394</v>
      </c>
      <c r="C97" s="9" t="n">
        <f aca="false">COUNTA(D97:CV97)</f>
        <v>5</v>
      </c>
      <c r="D97" s="11" t="s">
        <v>606</v>
      </c>
      <c r="AY97" s="11" t="s">
        <v>608</v>
      </c>
      <c r="AZ97" s="11" t="s">
        <v>607</v>
      </c>
      <c r="BB97" s="11" t="s">
        <v>606</v>
      </c>
      <c r="BL97" s="11" t="s">
        <v>607</v>
      </c>
    </row>
    <row r="98" customFormat="false" ht="15" hidden="false" customHeight="false" outlineLevel="0" collapsed="false">
      <c r="A98" s="9" t="s">
        <v>384</v>
      </c>
      <c r="B98" s="10" t="s">
        <v>399</v>
      </c>
      <c r="C98" s="9" t="n">
        <f aca="false">COUNTA(D98:CV98)</f>
        <v>6</v>
      </c>
      <c r="AY98" s="11" t="s">
        <v>606</v>
      </c>
      <c r="AZ98" s="11" t="s">
        <v>608</v>
      </c>
      <c r="BA98" s="11" t="s">
        <v>607</v>
      </c>
      <c r="BD98" s="11" t="s">
        <v>607</v>
      </c>
      <c r="BJ98" s="11" t="s">
        <v>606</v>
      </c>
      <c r="BK98" s="11" t="s">
        <v>606</v>
      </c>
    </row>
    <row r="99" customFormat="false" ht="15" hidden="false" customHeight="false" outlineLevel="0" collapsed="false">
      <c r="A99" s="9" t="s">
        <v>384</v>
      </c>
      <c r="B99" s="10" t="s">
        <v>403</v>
      </c>
      <c r="C99" s="9" t="n">
        <f aca="false">COUNTA(D99:CV99)</f>
        <v>9</v>
      </c>
      <c r="D99" s="11" t="s">
        <v>606</v>
      </c>
      <c r="AY99" s="11" t="s">
        <v>607</v>
      </c>
      <c r="AZ99" s="11" t="s">
        <v>608</v>
      </c>
      <c r="BA99" s="11" t="s">
        <v>608</v>
      </c>
      <c r="BB99" s="11" t="s">
        <v>606</v>
      </c>
      <c r="BC99" s="11" t="s">
        <v>606</v>
      </c>
      <c r="BD99" s="11" t="s">
        <v>606</v>
      </c>
      <c r="BH99" s="11" t="s">
        <v>607</v>
      </c>
      <c r="BJ99" s="11" t="s">
        <v>607</v>
      </c>
    </row>
    <row r="100" customFormat="false" ht="15" hidden="false" customHeight="false" outlineLevel="0" collapsed="false">
      <c r="A100" s="9" t="s">
        <v>384</v>
      </c>
      <c r="B100" s="10" t="s">
        <v>409</v>
      </c>
      <c r="C100" s="9" t="n">
        <f aca="false">COUNTA(D100:CV100)</f>
        <v>7</v>
      </c>
      <c r="D100" s="11" t="s">
        <v>606</v>
      </c>
      <c r="AZ100" s="11" t="s">
        <v>608</v>
      </c>
      <c r="BA100" s="11" t="s">
        <v>606</v>
      </c>
      <c r="BD100" s="11" t="s">
        <v>608</v>
      </c>
      <c r="BI100" s="11" t="s">
        <v>606</v>
      </c>
      <c r="BJ100" s="11" t="s">
        <v>607</v>
      </c>
      <c r="BL100" s="11" t="s">
        <v>607</v>
      </c>
    </row>
    <row r="101" customFormat="false" ht="15" hidden="false" customHeight="false" outlineLevel="0" collapsed="false">
      <c r="A101" s="9" t="s">
        <v>384</v>
      </c>
      <c r="B101" s="10" t="s">
        <v>414</v>
      </c>
      <c r="C101" s="9" t="n">
        <f aca="false">COUNTA(D101:CV101)</f>
        <v>1</v>
      </c>
      <c r="BN101" s="11" t="s">
        <v>606</v>
      </c>
    </row>
    <row r="102" customFormat="false" ht="15" hidden="false" customHeight="false" outlineLevel="0" collapsed="false">
      <c r="A102" s="9" t="s">
        <v>384</v>
      </c>
      <c r="B102" s="10" t="s">
        <v>418</v>
      </c>
      <c r="C102" s="9" t="n">
        <f aca="false">COUNTA(D102:CV102)</f>
        <v>1</v>
      </c>
      <c r="BB102" s="11" t="s">
        <v>607</v>
      </c>
    </row>
    <row r="103" customFormat="false" ht="15" hidden="false" customHeight="false" outlineLevel="0" collapsed="false">
      <c r="A103" s="9" t="s">
        <v>384</v>
      </c>
      <c r="B103" s="10" t="s">
        <v>421</v>
      </c>
      <c r="C103" s="9" t="n">
        <f aca="false">COUNTA(D103:CV103)</f>
        <v>3</v>
      </c>
      <c r="BD103" s="11" t="s">
        <v>607</v>
      </c>
      <c r="BJ103" s="11" t="s">
        <v>607</v>
      </c>
      <c r="BK103" s="11" t="s">
        <v>606</v>
      </c>
    </row>
    <row r="104" customFormat="false" ht="15" hidden="false" customHeight="false" outlineLevel="0" collapsed="false">
      <c r="A104" s="9" t="s">
        <v>384</v>
      </c>
      <c r="B104" s="10" t="s">
        <v>424</v>
      </c>
      <c r="C104" s="9" t="n">
        <f aca="false">COUNTA(D104:CV104)</f>
        <v>6</v>
      </c>
      <c r="X104" s="11" t="s">
        <v>606</v>
      </c>
      <c r="BA104" s="11" t="s">
        <v>607</v>
      </c>
      <c r="BD104" s="11" t="s">
        <v>606</v>
      </c>
      <c r="BL104" s="11" t="s">
        <v>606</v>
      </c>
      <c r="BZ104" s="11" t="s">
        <v>607</v>
      </c>
      <c r="CB104" s="11" t="s">
        <v>607</v>
      </c>
    </row>
    <row r="105" customFormat="false" ht="15" hidden="false" customHeight="false" outlineLevel="0" collapsed="false">
      <c r="A105" s="9" t="s">
        <v>384</v>
      </c>
      <c r="B105" s="10" t="s">
        <v>428</v>
      </c>
      <c r="C105" s="9" t="n">
        <f aca="false">COUNTA(D105:CV105)</f>
        <v>2</v>
      </c>
      <c r="BL105" s="11" t="s">
        <v>606</v>
      </c>
      <c r="CB105" s="11" t="s">
        <v>606</v>
      </c>
    </row>
    <row r="106" customFormat="false" ht="15" hidden="false" customHeight="false" outlineLevel="0" collapsed="false">
      <c r="A106" s="9" t="s">
        <v>384</v>
      </c>
      <c r="B106" s="10" t="s">
        <v>431</v>
      </c>
      <c r="C106" s="9" t="n">
        <f aca="false">COUNTA(D106:CV106)</f>
        <v>1</v>
      </c>
      <c r="Q106" s="11" t="s">
        <v>607</v>
      </c>
    </row>
    <row r="107" customFormat="false" ht="15" hidden="false" customHeight="false" outlineLevel="0" collapsed="false">
      <c r="A107" s="9" t="s">
        <v>433</v>
      </c>
      <c r="B107" s="10" t="s">
        <v>434</v>
      </c>
      <c r="C107" s="9" t="n">
        <f aca="false">COUNTA(D107:CV107)</f>
        <v>3</v>
      </c>
      <c r="D107" s="11" t="s">
        <v>607</v>
      </c>
      <c r="E107" s="11" t="s">
        <v>606</v>
      </c>
      <c r="BF107" s="11" t="s">
        <v>607</v>
      </c>
    </row>
    <row r="108" customFormat="false" ht="15" hidden="false" customHeight="false" outlineLevel="0" collapsed="false">
      <c r="A108" s="9" t="s">
        <v>433</v>
      </c>
      <c r="B108" s="10" t="s">
        <v>437</v>
      </c>
      <c r="C108" s="9" t="n">
        <f aca="false">COUNTA(D108:CV108)</f>
        <v>3</v>
      </c>
      <c r="E108" s="11" t="s">
        <v>607</v>
      </c>
      <c r="G108" s="11" t="s">
        <v>606</v>
      </c>
      <c r="BF108" s="11" t="s">
        <v>608</v>
      </c>
    </row>
    <row r="109" customFormat="false" ht="15" hidden="false" customHeight="false" outlineLevel="0" collapsed="false">
      <c r="A109" s="9" t="s">
        <v>433</v>
      </c>
      <c r="B109" s="10" t="s">
        <v>440</v>
      </c>
      <c r="C109" s="9" t="n">
        <f aca="false">COUNTA(D109:CV109)</f>
        <v>1</v>
      </c>
      <c r="BP109" s="11" t="s">
        <v>606</v>
      </c>
    </row>
    <row r="110" customFormat="false" ht="15" hidden="false" customHeight="false" outlineLevel="0" collapsed="false">
      <c r="A110" s="9" t="s">
        <v>433</v>
      </c>
      <c r="B110" s="10" t="s">
        <v>443</v>
      </c>
      <c r="C110" s="9" t="n">
        <f aca="false">COUNTA(D110:CV110)</f>
        <v>9</v>
      </c>
      <c r="D110" s="11" t="s">
        <v>606</v>
      </c>
      <c r="H110" s="11" t="s">
        <v>607</v>
      </c>
      <c r="AH110" s="11" t="s">
        <v>607</v>
      </c>
      <c r="AN110" s="11" t="s">
        <v>608</v>
      </c>
      <c r="BF110" s="11" t="s">
        <v>608</v>
      </c>
      <c r="BH110" s="11" t="s">
        <v>607</v>
      </c>
      <c r="BI110" s="11" t="s">
        <v>608</v>
      </c>
      <c r="BM110" s="11" t="s">
        <v>607</v>
      </c>
      <c r="CL110" s="11" t="s">
        <v>606</v>
      </c>
    </row>
    <row r="111" customFormat="false" ht="15" hidden="false" customHeight="false" outlineLevel="0" collapsed="false">
      <c r="A111" s="9" t="s">
        <v>433</v>
      </c>
      <c r="B111" s="10" t="s">
        <v>448</v>
      </c>
      <c r="C111" s="9" t="n">
        <f aca="false">COUNTA(D111:CV111)</f>
        <v>12</v>
      </c>
      <c r="H111" s="11" t="s">
        <v>607</v>
      </c>
      <c r="S111" s="11" t="s">
        <v>606</v>
      </c>
      <c r="AI111" s="11" t="s">
        <v>606</v>
      </c>
      <c r="AQ111" s="11" t="s">
        <v>606</v>
      </c>
      <c r="AR111" s="11" t="s">
        <v>607</v>
      </c>
      <c r="BH111" s="11" t="s">
        <v>608</v>
      </c>
      <c r="BI111" s="11" t="s">
        <v>606</v>
      </c>
      <c r="BJ111" s="11" t="s">
        <v>606</v>
      </c>
      <c r="BM111" s="11" t="s">
        <v>606</v>
      </c>
      <c r="BW111" s="11" t="s">
        <v>606</v>
      </c>
      <c r="CD111" s="11" t="s">
        <v>606</v>
      </c>
      <c r="CV111" s="11" t="s">
        <v>606</v>
      </c>
    </row>
    <row r="112" customFormat="false" ht="15" hidden="false" customHeight="false" outlineLevel="0" collapsed="false">
      <c r="A112" s="9" t="s">
        <v>433</v>
      </c>
      <c r="B112" s="10" t="s">
        <v>454</v>
      </c>
      <c r="C112" s="9" t="n">
        <f aca="false">COUNTA(D112:CV112)</f>
        <v>5</v>
      </c>
      <c r="BF112" s="11" t="s">
        <v>608</v>
      </c>
      <c r="BG112" s="11" t="s">
        <v>606</v>
      </c>
      <c r="BH112" s="11" t="s">
        <v>608</v>
      </c>
      <c r="BL112" s="11" t="s">
        <v>606</v>
      </c>
      <c r="BQ112" s="11" t="s">
        <v>608</v>
      </c>
    </row>
    <row r="113" customFormat="false" ht="15" hidden="false" customHeight="false" outlineLevel="0" collapsed="false">
      <c r="A113" s="9" t="s">
        <v>433</v>
      </c>
      <c r="B113" s="10" t="s">
        <v>459</v>
      </c>
      <c r="C113" s="9" t="n">
        <f aca="false">COUNTA(D113:CV113)</f>
        <v>2</v>
      </c>
      <c r="BH113" s="11" t="s">
        <v>608</v>
      </c>
      <c r="BJ113" s="11" t="s">
        <v>607</v>
      </c>
    </row>
    <row r="114" customFormat="false" ht="15" hidden="false" customHeight="false" outlineLevel="0" collapsed="false">
      <c r="A114" s="9" t="s">
        <v>433</v>
      </c>
      <c r="B114" s="10" t="s">
        <v>462</v>
      </c>
      <c r="C114" s="9" t="n">
        <f aca="false">COUNTA(D114:CV114)</f>
        <v>11</v>
      </c>
      <c r="D114" s="11" t="s">
        <v>606</v>
      </c>
      <c r="AH114" s="11" t="s">
        <v>608</v>
      </c>
      <c r="AR114" s="11" t="s">
        <v>607</v>
      </c>
      <c r="BD114" s="11" t="s">
        <v>607</v>
      </c>
      <c r="BE114" s="11" t="s">
        <v>606</v>
      </c>
      <c r="BF114" s="11" t="s">
        <v>608</v>
      </c>
      <c r="BH114" s="11" t="s">
        <v>607</v>
      </c>
      <c r="BI114" s="11" t="s">
        <v>607</v>
      </c>
      <c r="BM114" s="11" t="s">
        <v>608</v>
      </c>
      <c r="BV114" s="11" t="s">
        <v>606</v>
      </c>
      <c r="CV114" s="11" t="s">
        <v>607</v>
      </c>
    </row>
    <row r="115" customFormat="false" ht="15" hidden="false" customHeight="false" outlineLevel="0" collapsed="false">
      <c r="A115" s="9" t="s">
        <v>433</v>
      </c>
      <c r="B115" s="10" t="s">
        <v>468</v>
      </c>
      <c r="C115" s="9" t="n">
        <f aca="false">COUNTA(D115:CV115)</f>
        <v>1</v>
      </c>
      <c r="BK115" s="11" t="s">
        <v>607</v>
      </c>
    </row>
    <row r="116" customFormat="false" ht="15" hidden="false" customHeight="false" outlineLevel="0" collapsed="false">
      <c r="A116" s="9" t="s">
        <v>433</v>
      </c>
      <c r="B116" s="10" t="s">
        <v>470</v>
      </c>
      <c r="C116" s="9" t="n">
        <f aca="false">COUNTA(D116:CV116)</f>
        <v>6</v>
      </c>
      <c r="BI116" s="11" t="s">
        <v>607</v>
      </c>
      <c r="BJ116" s="11" t="s">
        <v>608</v>
      </c>
      <c r="CA116" s="11" t="s">
        <v>606</v>
      </c>
      <c r="CD116" s="11" t="s">
        <v>607</v>
      </c>
      <c r="CE116" s="11" t="s">
        <v>606</v>
      </c>
      <c r="CL116" s="11" t="s">
        <v>606</v>
      </c>
    </row>
    <row r="117" customFormat="false" ht="15" hidden="false" customHeight="false" outlineLevel="0" collapsed="false">
      <c r="A117" s="9" t="s">
        <v>433</v>
      </c>
      <c r="B117" s="10" t="s">
        <v>475</v>
      </c>
      <c r="C117" s="9" t="n">
        <f aca="false">COUNTA(D117:CV117)</f>
        <v>1</v>
      </c>
      <c r="BM117" s="11" t="s">
        <v>606</v>
      </c>
    </row>
    <row r="118" customFormat="false" ht="15" hidden="false" customHeight="false" outlineLevel="0" collapsed="false">
      <c r="A118" s="9" t="s">
        <v>433</v>
      </c>
      <c r="B118" s="10" t="s">
        <v>478</v>
      </c>
      <c r="C118" s="9" t="n">
        <f aca="false">COUNTA(D118:CV118)</f>
        <v>7</v>
      </c>
      <c r="BE118" s="11" t="s">
        <v>606</v>
      </c>
      <c r="BI118" s="11" t="s">
        <v>608</v>
      </c>
      <c r="BJ118" s="11" t="s">
        <v>607</v>
      </c>
      <c r="BK118" s="11" t="s">
        <v>608</v>
      </c>
      <c r="BN118" s="11" t="s">
        <v>606</v>
      </c>
      <c r="BO118" s="11" t="s">
        <v>607</v>
      </c>
      <c r="BS118" s="11" t="s">
        <v>607</v>
      </c>
    </row>
    <row r="119" customFormat="false" ht="15" hidden="false" customHeight="false" outlineLevel="0" collapsed="false">
      <c r="A119" s="9" t="s">
        <v>433</v>
      </c>
      <c r="B119" s="10" t="s">
        <v>482</v>
      </c>
      <c r="C119" s="9" t="n">
        <f aca="false">COUNTA(D119:CV119)</f>
        <v>3</v>
      </c>
      <c r="BI119" s="11" t="s">
        <v>606</v>
      </c>
      <c r="BK119" s="11" t="s">
        <v>608</v>
      </c>
      <c r="CD119" s="11" t="s">
        <v>606</v>
      </c>
    </row>
    <row r="120" customFormat="false" ht="15" hidden="false" customHeight="false" outlineLevel="0" collapsed="false">
      <c r="A120" s="9" t="s">
        <v>433</v>
      </c>
      <c r="B120" s="10" t="s">
        <v>485</v>
      </c>
      <c r="C120" s="9" t="n">
        <f aca="false">COUNTA(D120:CV120)</f>
        <v>2</v>
      </c>
      <c r="BI120" s="11" t="s">
        <v>607</v>
      </c>
      <c r="BK120" s="11" t="s">
        <v>608</v>
      </c>
    </row>
    <row r="121" customFormat="false" ht="15" hidden="false" customHeight="false" outlineLevel="0" collapsed="false">
      <c r="A121" s="9" t="s">
        <v>487</v>
      </c>
      <c r="B121" s="10" t="s">
        <v>488</v>
      </c>
      <c r="C121" s="9" t="n">
        <f aca="false">COUNTA(D121:CV121)</f>
        <v>4</v>
      </c>
      <c r="D121" s="11" t="s">
        <v>607</v>
      </c>
      <c r="M121" s="11" t="s">
        <v>608</v>
      </c>
      <c r="AV121" s="11" t="s">
        <v>607</v>
      </c>
      <c r="BQ121" s="11" t="s">
        <v>608</v>
      </c>
    </row>
    <row r="122" customFormat="false" ht="15" hidden="false" customHeight="false" outlineLevel="0" collapsed="false">
      <c r="A122" s="9" t="s">
        <v>487</v>
      </c>
      <c r="B122" s="10" t="s">
        <v>492</v>
      </c>
      <c r="C122" s="9" t="n">
        <f aca="false">COUNTA(D122:CV122)</f>
        <v>6</v>
      </c>
      <c r="H122" s="11" t="s">
        <v>606</v>
      </c>
      <c r="AV122" s="11" t="s">
        <v>608</v>
      </c>
      <c r="AX122" s="11" t="s">
        <v>606</v>
      </c>
      <c r="BG122" s="11" t="s">
        <v>606</v>
      </c>
      <c r="BH122" s="11" t="s">
        <v>606</v>
      </c>
      <c r="BQ122" s="11" t="s">
        <v>608</v>
      </c>
    </row>
    <row r="123" customFormat="false" ht="15" hidden="false" customHeight="false" outlineLevel="0" collapsed="false">
      <c r="A123" s="9" t="s">
        <v>487</v>
      </c>
      <c r="B123" s="10" t="s">
        <v>496</v>
      </c>
      <c r="C123" s="9" t="n">
        <f aca="false">COUNTA(D123:CV123)</f>
        <v>4</v>
      </c>
      <c r="AV123" s="11" t="s">
        <v>607</v>
      </c>
      <c r="BG123" s="11" t="s">
        <v>606</v>
      </c>
      <c r="BH123" s="11" t="s">
        <v>606</v>
      </c>
      <c r="BQ123" s="11" t="s">
        <v>608</v>
      </c>
    </row>
    <row r="124" customFormat="false" ht="15" hidden="false" customHeight="false" outlineLevel="0" collapsed="false">
      <c r="A124" s="9" t="s">
        <v>487</v>
      </c>
      <c r="B124" s="10" t="s">
        <v>501</v>
      </c>
      <c r="C124" s="9" t="n">
        <f aca="false">COUNTA(D124:CV124)</f>
        <v>4</v>
      </c>
      <c r="AV124" s="11" t="s">
        <v>607</v>
      </c>
      <c r="AX124" s="11" t="s">
        <v>606</v>
      </c>
      <c r="BR124" s="11" t="s">
        <v>608</v>
      </c>
      <c r="BS124" s="11" t="s">
        <v>607</v>
      </c>
    </row>
    <row r="125" customFormat="false" ht="15" hidden="false" customHeight="false" outlineLevel="0" collapsed="false">
      <c r="A125" s="9" t="s">
        <v>487</v>
      </c>
      <c r="B125" s="10" t="s">
        <v>506</v>
      </c>
      <c r="C125" s="9" t="n">
        <f aca="false">COUNTA(D125:CV125)</f>
        <v>1</v>
      </c>
      <c r="BS125" s="11" t="s">
        <v>607</v>
      </c>
    </row>
    <row r="126" customFormat="false" ht="15" hidden="false" customHeight="false" outlineLevel="0" collapsed="false">
      <c r="A126" s="9" t="s">
        <v>487</v>
      </c>
      <c r="B126" s="10" t="s">
        <v>509</v>
      </c>
      <c r="C126" s="9" t="n">
        <f aca="false">COUNTA(D126:CV126)</f>
        <v>3</v>
      </c>
      <c r="AV126" s="11" t="s">
        <v>607</v>
      </c>
      <c r="AX126" s="11" t="s">
        <v>606</v>
      </c>
      <c r="BQ126" s="11" t="s">
        <v>607</v>
      </c>
    </row>
    <row r="127" customFormat="false" ht="15" hidden="false" customHeight="false" outlineLevel="0" collapsed="false">
      <c r="A127" s="9" t="s">
        <v>487</v>
      </c>
      <c r="B127" s="10" t="s">
        <v>513</v>
      </c>
      <c r="C127" s="9" t="n">
        <f aca="false">COUNTA(D127:CV127)</f>
        <v>7</v>
      </c>
      <c r="F127" s="11" t="s">
        <v>606</v>
      </c>
      <c r="H127" s="11" t="s">
        <v>606</v>
      </c>
      <c r="AO127" s="11" t="s">
        <v>606</v>
      </c>
      <c r="AV127" s="11" t="s">
        <v>606</v>
      </c>
      <c r="AW127" s="11" t="s">
        <v>608</v>
      </c>
      <c r="BS127" s="11" t="s">
        <v>606</v>
      </c>
      <c r="BT127" s="11" t="s">
        <v>606</v>
      </c>
    </row>
    <row r="128" customFormat="false" ht="15" hidden="false" customHeight="false" outlineLevel="0" collapsed="false">
      <c r="A128" s="9" t="s">
        <v>487</v>
      </c>
      <c r="B128" s="10" t="s">
        <v>517</v>
      </c>
      <c r="C128" s="9" t="n">
        <f aca="false">COUNTA(D128:CV128)</f>
        <v>2</v>
      </c>
      <c r="AJ128" s="11" t="s">
        <v>608</v>
      </c>
      <c r="AW128" s="11" t="s">
        <v>607</v>
      </c>
    </row>
    <row r="129" customFormat="false" ht="15" hidden="false" customHeight="false" outlineLevel="0" collapsed="false">
      <c r="A129" s="9" t="s">
        <v>487</v>
      </c>
      <c r="B129" s="10" t="s">
        <v>520</v>
      </c>
      <c r="C129" s="9" t="n">
        <f aca="false">COUNTA(D129:CV129)</f>
        <v>2</v>
      </c>
      <c r="BS129" s="11" t="s">
        <v>606</v>
      </c>
      <c r="BT129" s="11" t="s">
        <v>606</v>
      </c>
    </row>
    <row r="130" customFormat="false" ht="15" hidden="false" customHeight="false" outlineLevel="0" collapsed="false">
      <c r="A130" s="9" t="s">
        <v>487</v>
      </c>
      <c r="B130" s="10" t="s">
        <v>522</v>
      </c>
      <c r="C130" s="9" t="n">
        <f aca="false">COUNTA(D130:CV130)</f>
        <v>2</v>
      </c>
      <c r="I130" s="11" t="s">
        <v>606</v>
      </c>
      <c r="CV130" s="11" t="s">
        <v>607</v>
      </c>
    </row>
    <row r="131" customFormat="false" ht="15" hidden="false" customHeight="false" outlineLevel="0" collapsed="false">
      <c r="A131" s="9" t="s">
        <v>487</v>
      </c>
      <c r="B131" s="10" t="s">
        <v>525</v>
      </c>
      <c r="C131" s="9" t="n">
        <f aca="false">COUNTA(D131:CV131)</f>
        <v>2</v>
      </c>
      <c r="BS131" s="11" t="s">
        <v>608</v>
      </c>
      <c r="BT131" s="11" t="s">
        <v>607</v>
      </c>
    </row>
    <row r="132" customFormat="false" ht="15" hidden="false" customHeight="false" outlineLevel="0" collapsed="false">
      <c r="A132" s="9" t="s">
        <v>487</v>
      </c>
      <c r="B132" s="10" t="s">
        <v>528</v>
      </c>
      <c r="C132" s="9" t="n">
        <f aca="false">COUNTA(D132:CV132)</f>
        <v>2</v>
      </c>
      <c r="J132" s="11" t="s">
        <v>607</v>
      </c>
      <c r="BS132" s="11" t="s">
        <v>606</v>
      </c>
    </row>
    <row r="133" customFormat="false" ht="15" hidden="false" customHeight="false" outlineLevel="0" collapsed="false">
      <c r="A133" s="9" t="s">
        <v>487</v>
      </c>
      <c r="B133" s="10" t="s">
        <v>531</v>
      </c>
      <c r="C133" s="9" t="n">
        <f aca="false">COUNTA(D133:CV133)</f>
        <v>6</v>
      </c>
      <c r="D133" s="11" t="s">
        <v>606</v>
      </c>
      <c r="G133" s="11" t="s">
        <v>608</v>
      </c>
      <c r="AR133" s="11" t="s">
        <v>607</v>
      </c>
      <c r="BK133" s="11" t="s">
        <v>606</v>
      </c>
      <c r="BS133" s="11" t="s">
        <v>608</v>
      </c>
      <c r="BT133" s="11" t="s">
        <v>607</v>
      </c>
    </row>
    <row r="134" customFormat="false" ht="15" hidden="false" customHeight="false" outlineLevel="0" collapsed="false">
      <c r="A134" s="9" t="s">
        <v>535</v>
      </c>
      <c r="B134" s="10" t="s">
        <v>536</v>
      </c>
      <c r="C134" s="9" t="n">
        <f aca="false">COUNTA(D134:CV134)</f>
        <v>1</v>
      </c>
      <c r="BW134" s="11" t="s">
        <v>608</v>
      </c>
    </row>
    <row r="135" customFormat="false" ht="15" hidden="false" customHeight="false" outlineLevel="0" collapsed="false">
      <c r="A135" s="9" t="s">
        <v>535</v>
      </c>
      <c r="B135" s="10" t="s">
        <v>540</v>
      </c>
      <c r="C135" s="9" t="n">
        <f aca="false">COUNTA(D135:CV135)</f>
        <v>1</v>
      </c>
      <c r="BW135" s="11" t="s">
        <v>607</v>
      </c>
    </row>
    <row r="136" customFormat="false" ht="15" hidden="false" customHeight="false" outlineLevel="0" collapsed="false">
      <c r="A136" s="9" t="s">
        <v>125</v>
      </c>
      <c r="B136" s="10" t="s">
        <v>542</v>
      </c>
      <c r="C136" s="9" t="n">
        <f aca="false">COUNTA(D136:CV136)</f>
        <v>3</v>
      </c>
      <c r="CH136" s="11" t="s">
        <v>607</v>
      </c>
      <c r="CI136" s="11" t="s">
        <v>607</v>
      </c>
      <c r="CJ136" s="11" t="s">
        <v>606</v>
      </c>
    </row>
    <row r="137" customFormat="false" ht="15" hidden="false" customHeight="false" outlineLevel="0" collapsed="false">
      <c r="A137" s="9" t="s">
        <v>189</v>
      </c>
      <c r="B137" s="10" t="s">
        <v>545</v>
      </c>
      <c r="C137" s="9" t="n">
        <f aca="false">COUNTA(D137:CV137)</f>
        <v>1</v>
      </c>
      <c r="AK137" s="11" t="s">
        <v>608</v>
      </c>
    </row>
    <row r="138" customFormat="false" ht="15" hidden="false" customHeight="false" outlineLevel="0" collapsed="false">
      <c r="A138" s="9" t="s">
        <v>316</v>
      </c>
      <c r="B138" s="10" t="s">
        <v>547</v>
      </c>
      <c r="C138" s="9" t="n">
        <f aca="false">COUNTA(D138:CV138)</f>
        <v>2</v>
      </c>
      <c r="AB138" s="11" t="s">
        <v>608</v>
      </c>
      <c r="AJ138" s="11" t="s">
        <v>606</v>
      </c>
    </row>
    <row r="139" customFormat="false" ht="15" hidden="false" customHeight="false" outlineLevel="0" collapsed="false">
      <c r="A139" s="9" t="s">
        <v>433</v>
      </c>
      <c r="B139" s="10" t="s">
        <v>551</v>
      </c>
      <c r="C139" s="9" t="n">
        <f aca="false">COUNTA(D139:CV139)</f>
        <v>1</v>
      </c>
      <c r="BP139" s="11" t="s">
        <v>608</v>
      </c>
    </row>
    <row r="140" customFormat="false" ht="15" hidden="false" customHeight="false" outlineLevel="0" collapsed="false">
      <c r="A140" s="9" t="s">
        <v>433</v>
      </c>
      <c r="B140" s="10" t="s">
        <v>553</v>
      </c>
      <c r="C140" s="9" t="n">
        <f aca="false">COUNTA(D140:CV140)</f>
        <v>4</v>
      </c>
      <c r="BE140" s="11" t="s">
        <v>606</v>
      </c>
      <c r="BF140" s="11" t="s">
        <v>608</v>
      </c>
      <c r="BI140" s="11" t="s">
        <v>608</v>
      </c>
      <c r="BV140" s="11" t="s">
        <v>607</v>
      </c>
    </row>
    <row r="141" customFormat="false" ht="15" hidden="false" customHeight="false" outlineLevel="0" collapsed="false">
      <c r="A141" s="9" t="s">
        <v>433</v>
      </c>
      <c r="B141" s="10" t="s">
        <v>557</v>
      </c>
      <c r="C141" s="9" t="n">
        <f aca="false">COUNTA(D141:CV141)</f>
        <v>4</v>
      </c>
      <c r="AH141" s="11" t="s">
        <v>606</v>
      </c>
      <c r="BG141" s="11" t="s">
        <v>607</v>
      </c>
      <c r="BH141" s="11" t="s">
        <v>608</v>
      </c>
      <c r="BJ141" s="11" t="s">
        <v>607</v>
      </c>
    </row>
    <row r="142" customFormat="false" ht="15" hidden="false" customHeight="false" outlineLevel="0" collapsed="false">
      <c r="B142" s="10" t="s">
        <v>609</v>
      </c>
      <c r="D142" s="12" t="n">
        <f aca="false">COUNTA(D2:D141)</f>
        <v>21</v>
      </c>
      <c r="E142" s="12" t="n">
        <f aca="false">COUNTA(E2:E141)</f>
        <v>5</v>
      </c>
      <c r="F142" s="12" t="n">
        <f aca="false">COUNTA(F2:F141)</f>
        <v>4</v>
      </c>
      <c r="G142" s="12" t="n">
        <f aca="false">COUNTA(G2:G141)</f>
        <v>12</v>
      </c>
      <c r="H142" s="12" t="n">
        <f aca="false">COUNTA(H2:H141)</f>
        <v>14</v>
      </c>
      <c r="I142" s="12" t="n">
        <f aca="false">COUNTA(I2:I141)</f>
        <v>18</v>
      </c>
      <c r="J142" s="12" t="n">
        <f aca="false">COUNTA(J2:J141)</f>
        <v>19</v>
      </c>
      <c r="K142" s="12" t="n">
        <f aca="false">COUNTA(K2:K141)</f>
        <v>2</v>
      </c>
      <c r="L142" s="12" t="n">
        <f aca="false">COUNTA(L2:L141)</f>
        <v>1</v>
      </c>
      <c r="M142" s="12" t="n">
        <f aca="false">COUNTA(M2:M141)</f>
        <v>8</v>
      </c>
      <c r="N142" s="12" t="n">
        <f aca="false">COUNTA(N2:N141)</f>
        <v>2</v>
      </c>
      <c r="O142" s="12" t="n">
        <f aca="false">COUNTA(O2:O141)</f>
        <v>2</v>
      </c>
      <c r="P142" s="12" t="n">
        <f aca="false">COUNTA(P2:P141)</f>
        <v>7</v>
      </c>
      <c r="Q142" s="12" t="n">
        <f aca="false">COUNTA(Q2:Q141)</f>
        <v>13</v>
      </c>
      <c r="R142" s="12" t="n">
        <f aca="false">COUNTA(R2:R141)</f>
        <v>1</v>
      </c>
      <c r="S142" s="12" t="n">
        <f aca="false">COUNTA(S2:S141)</f>
        <v>3</v>
      </c>
      <c r="T142" s="12" t="n">
        <f aca="false">COUNTA(T2:T141)</f>
        <v>4</v>
      </c>
      <c r="U142" s="12" t="n">
        <f aca="false">COUNTA(U2:U141)</f>
        <v>7</v>
      </c>
      <c r="V142" s="12" t="n">
        <f aca="false">COUNTA(V2:V141)</f>
        <v>8</v>
      </c>
      <c r="W142" s="12" t="n">
        <f aca="false">COUNTA(W2:W141)</f>
        <v>8</v>
      </c>
      <c r="X142" s="12" t="n">
        <f aca="false">COUNTA(X2:X141)</f>
        <v>4</v>
      </c>
      <c r="Y142" s="12" t="n">
        <f aca="false">COUNTA(Y2:Y141)</f>
        <v>8</v>
      </c>
      <c r="Z142" s="12" t="n">
        <f aca="false">COUNTA(Z2:Z141)</f>
        <v>3</v>
      </c>
      <c r="AA142" s="12" t="n">
        <f aca="false">COUNTA(AA2:AA141)</f>
        <v>7</v>
      </c>
      <c r="AB142" s="12" t="n">
        <f aca="false">COUNTA(AB2:AB141)</f>
        <v>3</v>
      </c>
      <c r="AC142" s="12" t="n">
        <f aca="false">COUNTA(AC2:AC141)</f>
        <v>6</v>
      </c>
      <c r="AD142" s="12" t="n">
        <f aca="false">COUNTA(AD2:AD141)</f>
        <v>9</v>
      </c>
      <c r="AE142" s="12" t="n">
        <f aca="false">COUNTA(AE2:AE141)</f>
        <v>12</v>
      </c>
      <c r="AF142" s="12" t="n">
        <f aca="false">COUNTA(AF2:AF141)</f>
        <v>1</v>
      </c>
      <c r="AG142" s="12" t="n">
        <f aca="false">COUNTA(AG2:AG141)</f>
        <v>3</v>
      </c>
      <c r="AH142" s="12" t="n">
        <f aca="false">COUNTA(AH2:AH141)</f>
        <v>11</v>
      </c>
      <c r="AI142" s="12" t="n">
        <f aca="false">COUNTA(AI2:AI141)</f>
        <v>7</v>
      </c>
      <c r="AJ142" s="12" t="n">
        <f aca="false">COUNTA(AJ2:AJ141)</f>
        <v>8</v>
      </c>
      <c r="AK142" s="12" t="n">
        <f aca="false">COUNTA(AK2:AK141)</f>
        <v>16</v>
      </c>
      <c r="AL142" s="12" t="n">
        <f aca="false">COUNTA(AL2:AL141)</f>
        <v>3</v>
      </c>
      <c r="AM142" s="12" t="n">
        <f aca="false">COUNTA(AM2:AM141)</f>
        <v>8</v>
      </c>
      <c r="AN142" s="12" t="n">
        <f aca="false">COUNTA(AN2:AN141)</f>
        <v>8</v>
      </c>
      <c r="AO142" s="12" t="n">
        <f aca="false">COUNTA(AO2:AO141)</f>
        <v>6</v>
      </c>
      <c r="AP142" s="12" t="n">
        <f aca="false">COUNTA(AP2:AP141)</f>
        <v>7</v>
      </c>
      <c r="AQ142" s="12" t="n">
        <f aca="false">COUNTA(AQ2:AQ141)</f>
        <v>15</v>
      </c>
      <c r="AR142" s="12" t="n">
        <f aca="false">COUNTA(AR2:AR141)</f>
        <v>18</v>
      </c>
      <c r="AS142" s="12" t="n">
        <f aca="false">COUNTA(AS2:AS141)</f>
        <v>2</v>
      </c>
      <c r="AT142" s="12" t="n">
        <f aca="false">COUNTA(AT2:AT141)</f>
        <v>6</v>
      </c>
      <c r="AU142" s="12" t="n">
        <f aca="false">COUNTA(AU2:AU141)</f>
        <v>1</v>
      </c>
      <c r="AV142" s="12" t="n">
        <f aca="false">COUNTA(AV2:AV141)</f>
        <v>8</v>
      </c>
      <c r="AW142" s="12" t="n">
        <f aca="false">COUNTA(AW2:AW141)</f>
        <v>4</v>
      </c>
      <c r="AX142" s="12" t="n">
        <f aca="false">COUNTA(AX2:AX141)</f>
        <v>4</v>
      </c>
      <c r="AY142" s="12" t="n">
        <f aca="false">COUNTA(AY2:AY141)</f>
        <v>5</v>
      </c>
      <c r="AZ142" s="12" t="n">
        <f aca="false">COUNTA(AZ2:AZ141)</f>
        <v>6</v>
      </c>
      <c r="BA142" s="12" t="n">
        <f aca="false">COUNTA(BA2:BA141)</f>
        <v>7</v>
      </c>
      <c r="BB142" s="12" t="n">
        <f aca="false">COUNTA(BB2:BB141)</f>
        <v>5</v>
      </c>
      <c r="BC142" s="12" t="n">
        <f aca="false">COUNTA(BC2:BC141)</f>
        <v>5</v>
      </c>
      <c r="BD142" s="12" t="n">
        <f aca="false">COUNTA(BD2:BD141)</f>
        <v>10</v>
      </c>
      <c r="BE142" s="12" t="n">
        <f aca="false">COUNTA(BE2:BE141)</f>
        <v>3</v>
      </c>
      <c r="BF142" s="12" t="n">
        <f aca="false">COUNTA(BF2:BF141)</f>
        <v>9</v>
      </c>
      <c r="BG142" s="12" t="n">
        <f aca="false">COUNTA(BG2:BG141)</f>
        <v>6</v>
      </c>
      <c r="BH142" s="12" t="n">
        <f aca="false">COUNTA(BH2:BH141)</f>
        <v>15</v>
      </c>
      <c r="BI142" s="12" t="n">
        <f aca="false">COUNTA(BI2:BI141)</f>
        <v>12</v>
      </c>
      <c r="BJ142" s="12" t="n">
        <f aca="false">COUNTA(BJ2:BJ141)</f>
        <v>15</v>
      </c>
      <c r="BK142" s="12" t="n">
        <f aca="false">COUNTA(BK2:BK141)</f>
        <v>9</v>
      </c>
      <c r="BL142" s="12" t="n">
        <f aca="false">COUNTA(BL2:BL141)</f>
        <v>8</v>
      </c>
      <c r="BM142" s="12" t="n">
        <f aca="false">COUNTA(BM2:BM141)</f>
        <v>7</v>
      </c>
      <c r="BN142" s="12" t="n">
        <f aca="false">COUNTA(BN2:BN141)</f>
        <v>3</v>
      </c>
      <c r="BO142" s="12" t="n">
        <f aca="false">COUNTA(BO2:BO141)</f>
        <v>2</v>
      </c>
      <c r="BP142" s="12" t="n">
        <f aca="false">COUNTA(BP2:BP141)</f>
        <v>2</v>
      </c>
      <c r="BQ142" s="12" t="n">
        <f aca="false">COUNTA(BQ2:BQ141)</f>
        <v>5</v>
      </c>
      <c r="BR142" s="12" t="n">
        <f aca="false">COUNTA(BR2:BR141)</f>
        <v>3</v>
      </c>
      <c r="BS142" s="12" t="n">
        <f aca="false">COUNTA(BS2:BS141)</f>
        <v>14</v>
      </c>
      <c r="BT142" s="12" t="n">
        <f aca="false">COUNTA(BT2:BT141)</f>
        <v>7</v>
      </c>
      <c r="BU142" s="12" t="n">
        <f aca="false">COUNTA(BU2:BU141)</f>
        <v>3</v>
      </c>
      <c r="BV142" s="12" t="n">
        <f aca="false">COUNTA(BV2:BV141)</f>
        <v>5</v>
      </c>
      <c r="BW142" s="12" t="n">
        <f aca="false">COUNTA(BW2:BW141)</f>
        <v>5</v>
      </c>
      <c r="BX142" s="12" t="n">
        <f aca="false">COUNTA(BX2:BX141)</f>
        <v>2</v>
      </c>
      <c r="BY142" s="12" t="n">
        <f aca="false">COUNTA(BY2:BY141)</f>
        <v>1</v>
      </c>
      <c r="BZ142" s="12" t="n">
        <f aca="false">COUNTA(BZ2:BZ141)</f>
        <v>1</v>
      </c>
      <c r="CA142" s="12" t="n">
        <f aca="false">COUNTA(CA2:CA141)</f>
        <v>2</v>
      </c>
      <c r="CB142" s="12" t="n">
        <f aca="false">COUNTA(CB2:CB141)</f>
        <v>5</v>
      </c>
      <c r="CC142" s="12" t="n">
        <f aca="false">COUNTA(CC2:CC141)</f>
        <v>1</v>
      </c>
      <c r="CD142" s="12" t="n">
        <f aca="false">COUNTA(CD2:CD141)</f>
        <v>4</v>
      </c>
      <c r="CE142" s="12" t="n">
        <f aca="false">COUNTA(CE2:CE141)</f>
        <v>1</v>
      </c>
      <c r="CF142" s="12" t="n">
        <f aca="false">COUNTA(CF2:CF141)</f>
        <v>2</v>
      </c>
      <c r="CG142" s="12" t="n">
        <f aca="false">COUNTA(CG2:CG141)</f>
        <v>1</v>
      </c>
      <c r="CH142" s="12" t="n">
        <f aca="false">COUNTA(CH2:CH141)</f>
        <v>6</v>
      </c>
      <c r="CI142" s="12" t="n">
        <f aca="false">COUNTA(CI2:CI141)</f>
        <v>7</v>
      </c>
      <c r="CJ142" s="12" t="n">
        <f aca="false">COUNTA(CJ2:CJ141)</f>
        <v>10</v>
      </c>
      <c r="CK142" s="12" t="n">
        <f aca="false">COUNTA(CK2:CK141)</f>
        <v>6</v>
      </c>
      <c r="CL142" s="12" t="n">
        <f aca="false">COUNTA(CL2:CL141)</f>
        <v>10</v>
      </c>
      <c r="CM142" s="12" t="n">
        <f aca="false">COUNTA(CM2:CM141)</f>
        <v>5</v>
      </c>
      <c r="CN142" s="12" t="n">
        <f aca="false">COUNTA(CN2:CN141)</f>
        <v>2</v>
      </c>
      <c r="CO142" s="12" t="n">
        <f aca="false">COUNTA(CO2:CO141)</f>
        <v>2</v>
      </c>
      <c r="CP142" s="12" t="n">
        <f aca="false">COUNTA(CP2:CP141)</f>
        <v>3</v>
      </c>
      <c r="CQ142" s="12" t="n">
        <f aca="false">COUNTA(CQ2:CQ141)</f>
        <v>2</v>
      </c>
      <c r="CR142" s="12" t="n">
        <f aca="false">COUNTA(CR2:CR141)</f>
        <v>3</v>
      </c>
      <c r="CS142" s="12" t="n">
        <f aca="false">COUNTA(CS2:CS141)</f>
        <v>1</v>
      </c>
      <c r="CT142" s="12" t="n">
        <f aca="false">COUNTA(CT2:CT141)</f>
        <v>10</v>
      </c>
      <c r="CU142" s="12" t="n">
        <f aca="false">COUNTA(CU2:CU141)</f>
        <v>8</v>
      </c>
      <c r="CV142" s="12" t="n">
        <f aca="false">COUNTA(CV2:CV141)</f>
        <v>8</v>
      </c>
    </row>
    <row r="144" customFormat="false" ht="15" hidden="false" customHeight="false" outlineLevel="0" collapsed="false">
      <c r="B144" s="13" t="s">
        <v>610</v>
      </c>
    </row>
  </sheetData>
  <conditionalFormatting sqref="D2:CV141">
    <cfRule type="cellIs" priority="2" operator="equal" aboveAverage="0" equalAverage="0" bottom="0" percent="0" rank="0" text="" dxfId="3">
      <formula>"D"</formula>
    </cfRule>
    <cfRule type="cellIs" priority="3" operator="equal" aboveAverage="0" equalAverage="0" bottom="0" percent="0" rank="0" text="" dxfId="4">
      <formula>"T"</formula>
    </cfRule>
    <cfRule type="cellIs" priority="4" operator="equal" aboveAverage="0" equalAverage="0" bottom="0" percent="0" rank="0" text="" dxfId="5">
      <formula>"M"</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30"/>
    <col collapsed="false" customWidth="true" hidden="false" outlineLevel="0" max="4" min="4" style="0" width="8"/>
    <col collapsed="false" customWidth="true" hidden="false" outlineLevel="0" max="5" min="5" style="0" width="30"/>
    <col collapsed="false" customWidth="true" hidden="false" outlineLevel="0" max="6" min="6" style="0" width="10"/>
    <col collapsed="false" customWidth="true" hidden="false" outlineLevel="0" max="7" min="7" style="0" width="28"/>
    <col collapsed="false" customWidth="true" hidden="false" outlineLevel="0" max="8" min="8" style="0" width="12"/>
    <col collapsed="false" customWidth="true" hidden="false" outlineLevel="0" max="9" min="9" style="0" width="26"/>
    <col collapsed="false" customWidth="true" hidden="false" outlineLevel="0" max="10" min="10" style="0" width="80"/>
  </cols>
  <sheetData>
    <row r="1" customFormat="false" ht="35.05" hidden="false" customHeight="false" outlineLevel="0" collapsed="false">
      <c r="A1" s="14" t="s">
        <v>2</v>
      </c>
      <c r="B1" s="14" t="s">
        <v>3</v>
      </c>
      <c r="C1" s="14" t="s">
        <v>611</v>
      </c>
      <c r="D1" s="14" t="s">
        <v>612</v>
      </c>
      <c r="E1" s="14" t="s">
        <v>613</v>
      </c>
      <c r="F1" s="14" t="s">
        <v>614</v>
      </c>
      <c r="G1" s="14" t="s">
        <v>615</v>
      </c>
      <c r="H1" s="14" t="s">
        <v>616</v>
      </c>
      <c r="I1" s="14" t="s">
        <v>617</v>
      </c>
      <c r="J1" s="14" t="s">
        <v>618</v>
      </c>
    </row>
    <row r="2" customFormat="false" ht="35.05" hidden="false" customHeight="false" outlineLevel="0" collapsed="false">
      <c r="A2" s="15" t="s">
        <v>13</v>
      </c>
      <c r="B2" s="16" t="s">
        <v>14</v>
      </c>
      <c r="C2" s="16" t="s">
        <v>619</v>
      </c>
      <c r="D2" s="15" t="s">
        <v>20</v>
      </c>
      <c r="E2" s="16" t="s">
        <v>620</v>
      </c>
      <c r="F2" s="15" t="n">
        <v>1</v>
      </c>
      <c r="G2" s="16" t="s">
        <v>17</v>
      </c>
      <c r="H2" s="15" t="s">
        <v>621</v>
      </c>
      <c r="I2" s="16" t="s">
        <v>622</v>
      </c>
      <c r="J2" s="16" t="s">
        <v>623</v>
      </c>
    </row>
    <row r="3" customFormat="false" ht="35.05" hidden="false" customHeight="false" outlineLevel="0" collapsed="false">
      <c r="A3" s="15" t="s">
        <v>13</v>
      </c>
      <c r="B3" s="16" t="s">
        <v>14</v>
      </c>
      <c r="C3" s="16" t="s">
        <v>619</v>
      </c>
      <c r="D3" s="15" t="s">
        <v>196</v>
      </c>
      <c r="E3" s="16" t="s">
        <v>624</v>
      </c>
      <c r="F3" s="15" t="n">
        <v>1</v>
      </c>
      <c r="G3" s="16" t="s">
        <v>17</v>
      </c>
      <c r="H3" s="15" t="s">
        <v>621</v>
      </c>
      <c r="I3" s="16" t="s">
        <v>622</v>
      </c>
      <c r="J3" s="16" t="s">
        <v>625</v>
      </c>
    </row>
    <row r="4" customFormat="false" ht="35.05" hidden="false" customHeight="false" outlineLevel="0" collapsed="false">
      <c r="A4" s="15" t="s">
        <v>13</v>
      </c>
      <c r="B4" s="16" t="s">
        <v>14</v>
      </c>
      <c r="C4" s="16" t="s">
        <v>619</v>
      </c>
      <c r="D4" s="15" t="s">
        <v>383</v>
      </c>
      <c r="E4" s="16" t="s">
        <v>626</v>
      </c>
      <c r="F4" s="15" t="n">
        <v>2</v>
      </c>
      <c r="G4" s="16" t="s">
        <v>17</v>
      </c>
      <c r="H4" s="15" t="s">
        <v>627</v>
      </c>
      <c r="I4" s="16" t="s">
        <v>628</v>
      </c>
      <c r="J4" s="16" t="s">
        <v>629</v>
      </c>
    </row>
    <row r="5" customFormat="false" ht="35.05" hidden="false" customHeight="false" outlineLevel="0" collapsed="false">
      <c r="A5" s="15" t="s">
        <v>13</v>
      </c>
      <c r="B5" s="16" t="s">
        <v>14</v>
      </c>
      <c r="C5" s="16" t="s">
        <v>619</v>
      </c>
      <c r="D5" s="15" t="s">
        <v>600</v>
      </c>
      <c r="E5" s="16" t="s">
        <v>630</v>
      </c>
      <c r="F5" s="15" t="n">
        <v>2</v>
      </c>
      <c r="G5" s="16" t="s">
        <v>17</v>
      </c>
      <c r="H5" s="15" t="s">
        <v>627</v>
      </c>
      <c r="I5" s="16" t="s">
        <v>628</v>
      </c>
      <c r="J5" s="16" t="s">
        <v>631</v>
      </c>
    </row>
    <row r="6" customFormat="false" ht="35.05" hidden="false" customHeight="false" outlineLevel="0" collapsed="false">
      <c r="A6" s="15" t="s">
        <v>13</v>
      </c>
      <c r="B6" s="16" t="s">
        <v>18</v>
      </c>
      <c r="C6" s="16" t="s">
        <v>619</v>
      </c>
      <c r="D6" s="15" t="s">
        <v>20</v>
      </c>
      <c r="E6" s="16" t="s">
        <v>620</v>
      </c>
      <c r="F6" s="15" t="n">
        <v>1</v>
      </c>
      <c r="G6" s="16" t="s">
        <v>17</v>
      </c>
      <c r="H6" s="15" t="s">
        <v>621</v>
      </c>
      <c r="I6" s="16" t="s">
        <v>632</v>
      </c>
      <c r="J6" s="16" t="s">
        <v>633</v>
      </c>
    </row>
    <row r="7" customFormat="false" ht="35.05" hidden="false" customHeight="false" outlineLevel="0" collapsed="false">
      <c r="A7" s="15" t="s">
        <v>13</v>
      </c>
      <c r="B7" s="16" t="s">
        <v>21</v>
      </c>
      <c r="C7" s="16" t="s">
        <v>619</v>
      </c>
      <c r="D7" s="15" t="s">
        <v>561</v>
      </c>
      <c r="E7" s="16" t="s">
        <v>634</v>
      </c>
      <c r="F7" s="15" t="n">
        <v>3</v>
      </c>
      <c r="G7" s="16" t="s">
        <v>17</v>
      </c>
      <c r="H7" s="15" t="s">
        <v>627</v>
      </c>
      <c r="I7" s="16" t="s">
        <v>635</v>
      </c>
      <c r="J7" s="16" t="s">
        <v>636</v>
      </c>
    </row>
    <row r="8" customFormat="false" ht="35.05" hidden="false" customHeight="false" outlineLevel="0" collapsed="false">
      <c r="A8" s="15" t="s">
        <v>13</v>
      </c>
      <c r="B8" s="16" t="s">
        <v>21</v>
      </c>
      <c r="C8" s="16" t="s">
        <v>619</v>
      </c>
      <c r="D8" s="15" t="s">
        <v>571</v>
      </c>
      <c r="E8" s="16" t="s">
        <v>637</v>
      </c>
      <c r="F8" s="15" t="n">
        <v>1</v>
      </c>
      <c r="G8" s="16" t="s">
        <v>17</v>
      </c>
      <c r="H8" s="15" t="s">
        <v>621</v>
      </c>
      <c r="I8" s="16" t="s">
        <v>638</v>
      </c>
      <c r="J8" s="16" t="s">
        <v>639</v>
      </c>
    </row>
    <row r="9" customFormat="false" ht="35.05" hidden="false" customHeight="false" outlineLevel="0" collapsed="false">
      <c r="A9" s="15" t="s">
        <v>13</v>
      </c>
      <c r="B9" s="16" t="s">
        <v>21</v>
      </c>
      <c r="C9" s="16" t="s">
        <v>619</v>
      </c>
      <c r="D9" s="15" t="s">
        <v>294</v>
      </c>
      <c r="E9" s="16" t="s">
        <v>640</v>
      </c>
      <c r="F9" s="15" t="n">
        <v>1</v>
      </c>
      <c r="G9" s="16" t="s">
        <v>17</v>
      </c>
      <c r="H9" s="15" t="s">
        <v>621</v>
      </c>
      <c r="I9" s="16" t="s">
        <v>638</v>
      </c>
      <c r="J9" s="16" t="s">
        <v>639</v>
      </c>
    </row>
    <row r="10" customFormat="false" ht="35.05" hidden="false" customHeight="false" outlineLevel="0" collapsed="false">
      <c r="A10" s="15" t="s">
        <v>24</v>
      </c>
      <c r="B10" s="16" t="s">
        <v>25</v>
      </c>
      <c r="C10" s="16" t="s">
        <v>619</v>
      </c>
      <c r="D10" s="15" t="s">
        <v>398</v>
      </c>
      <c r="E10" s="16" t="s">
        <v>641</v>
      </c>
      <c r="F10" s="15" t="n">
        <v>2</v>
      </c>
      <c r="G10" s="16" t="s">
        <v>17</v>
      </c>
      <c r="H10" s="15" t="s">
        <v>627</v>
      </c>
      <c r="I10" s="16" t="s">
        <v>642</v>
      </c>
      <c r="J10" s="16" t="s">
        <v>643</v>
      </c>
    </row>
    <row r="11" customFormat="false" ht="35.05" hidden="false" customHeight="false" outlineLevel="0" collapsed="false">
      <c r="A11" s="15" t="s">
        <v>24</v>
      </c>
      <c r="B11" s="16" t="s">
        <v>25</v>
      </c>
      <c r="C11" s="16" t="s">
        <v>619</v>
      </c>
      <c r="D11" s="15" t="s">
        <v>561</v>
      </c>
      <c r="E11" s="16" t="s">
        <v>634</v>
      </c>
      <c r="F11" s="15" t="n">
        <v>1</v>
      </c>
      <c r="G11" s="16" t="s">
        <v>17</v>
      </c>
      <c r="H11" s="15" t="s">
        <v>621</v>
      </c>
      <c r="I11" s="16" t="s">
        <v>644</v>
      </c>
      <c r="J11" s="16" t="s">
        <v>645</v>
      </c>
    </row>
    <row r="12" customFormat="false" ht="35.05" hidden="false" customHeight="false" outlineLevel="0" collapsed="false">
      <c r="A12" s="15" t="s">
        <v>24</v>
      </c>
      <c r="B12" s="16" t="s">
        <v>25</v>
      </c>
      <c r="C12" s="16" t="s">
        <v>619</v>
      </c>
      <c r="D12" s="15" t="s">
        <v>220</v>
      </c>
      <c r="E12" s="16" t="s">
        <v>646</v>
      </c>
      <c r="F12" s="15" t="n">
        <v>1</v>
      </c>
      <c r="G12" s="16" t="s">
        <v>17</v>
      </c>
      <c r="H12" s="15" t="s">
        <v>621</v>
      </c>
      <c r="I12" s="16" t="s">
        <v>647</v>
      </c>
      <c r="J12" s="16" t="s">
        <v>648</v>
      </c>
    </row>
    <row r="13" customFormat="false" ht="35.05" hidden="false" customHeight="false" outlineLevel="0" collapsed="false">
      <c r="A13" s="15" t="s">
        <v>24</v>
      </c>
      <c r="B13" s="16" t="s">
        <v>25</v>
      </c>
      <c r="C13" s="16" t="s">
        <v>619</v>
      </c>
      <c r="D13" s="15" t="s">
        <v>563</v>
      </c>
      <c r="E13" s="16" t="s">
        <v>649</v>
      </c>
      <c r="F13" s="15" t="n">
        <v>1</v>
      </c>
      <c r="G13" s="16" t="s">
        <v>17</v>
      </c>
      <c r="H13" s="15" t="s">
        <v>621</v>
      </c>
      <c r="I13" s="16" t="s">
        <v>650</v>
      </c>
      <c r="J13" s="16" t="s">
        <v>651</v>
      </c>
    </row>
    <row r="14" customFormat="false" ht="113.4" hidden="false" customHeight="false" outlineLevel="0" collapsed="false">
      <c r="A14" s="15" t="s">
        <v>24</v>
      </c>
      <c r="B14" s="16" t="s">
        <v>25</v>
      </c>
      <c r="C14" s="16" t="s">
        <v>619</v>
      </c>
      <c r="D14" s="15" t="s">
        <v>28</v>
      </c>
      <c r="E14" s="16" t="s">
        <v>652</v>
      </c>
      <c r="F14" s="15" t="n">
        <v>38</v>
      </c>
      <c r="G14" s="16" t="s">
        <v>653</v>
      </c>
      <c r="H14" s="15" t="s">
        <v>654</v>
      </c>
      <c r="I14" s="16" t="s">
        <v>655</v>
      </c>
      <c r="J14" s="16" t="s">
        <v>656</v>
      </c>
    </row>
    <row r="15" customFormat="false" ht="35.05" hidden="false" customHeight="false" outlineLevel="0" collapsed="false">
      <c r="A15" s="15" t="s">
        <v>24</v>
      </c>
      <c r="B15" s="16" t="s">
        <v>25</v>
      </c>
      <c r="C15" s="16" t="s">
        <v>619</v>
      </c>
      <c r="D15" s="15" t="s">
        <v>84</v>
      </c>
      <c r="E15" s="16" t="s">
        <v>657</v>
      </c>
      <c r="F15" s="15" t="n">
        <v>4</v>
      </c>
      <c r="G15" s="16" t="s">
        <v>17</v>
      </c>
      <c r="H15" s="15" t="s">
        <v>627</v>
      </c>
      <c r="I15" s="16" t="s">
        <v>658</v>
      </c>
      <c r="J15" s="16" t="s">
        <v>659</v>
      </c>
    </row>
    <row r="16" customFormat="false" ht="35.05" hidden="false" customHeight="false" outlineLevel="0" collapsed="false">
      <c r="A16" s="15" t="s">
        <v>24</v>
      </c>
      <c r="B16" s="16" t="s">
        <v>25</v>
      </c>
      <c r="C16" s="16" t="s">
        <v>619</v>
      </c>
      <c r="D16" s="15" t="s">
        <v>76</v>
      </c>
      <c r="E16" s="16" t="s">
        <v>660</v>
      </c>
      <c r="F16" s="15" t="n">
        <v>1</v>
      </c>
      <c r="G16" s="16" t="s">
        <v>17</v>
      </c>
      <c r="H16" s="15" t="s">
        <v>621</v>
      </c>
      <c r="I16" s="16" t="s">
        <v>644</v>
      </c>
      <c r="J16" s="16" t="s">
        <v>661</v>
      </c>
    </row>
    <row r="17" customFormat="false" ht="35.05" hidden="false" customHeight="false" outlineLevel="0" collapsed="false">
      <c r="A17" s="15" t="s">
        <v>24</v>
      </c>
      <c r="B17" s="16" t="s">
        <v>25</v>
      </c>
      <c r="C17" s="16" t="s">
        <v>619</v>
      </c>
      <c r="D17" s="15" t="s">
        <v>59</v>
      </c>
      <c r="E17" s="16" t="s">
        <v>662</v>
      </c>
      <c r="F17" s="15" t="n">
        <v>1</v>
      </c>
      <c r="G17" s="16" t="s">
        <v>17</v>
      </c>
      <c r="H17" s="15" t="s">
        <v>621</v>
      </c>
      <c r="I17" s="16" t="s">
        <v>663</v>
      </c>
      <c r="J17" s="16" t="s">
        <v>664</v>
      </c>
    </row>
    <row r="18" customFormat="false" ht="35.05" hidden="false" customHeight="false" outlineLevel="0" collapsed="false">
      <c r="A18" s="15" t="s">
        <v>24</v>
      </c>
      <c r="B18" s="16" t="s">
        <v>25</v>
      </c>
      <c r="C18" s="16" t="s">
        <v>619</v>
      </c>
      <c r="D18" s="15" t="s">
        <v>571</v>
      </c>
      <c r="E18" s="16" t="s">
        <v>637</v>
      </c>
      <c r="F18" s="15" t="n">
        <v>1</v>
      </c>
      <c r="G18" s="16" t="s">
        <v>17</v>
      </c>
      <c r="H18" s="15" t="s">
        <v>621</v>
      </c>
      <c r="I18" s="16" t="s">
        <v>647</v>
      </c>
      <c r="J18" s="16" t="s">
        <v>665</v>
      </c>
    </row>
    <row r="19" customFormat="false" ht="35.05" hidden="false" customHeight="false" outlineLevel="0" collapsed="false">
      <c r="A19" s="15" t="s">
        <v>24</v>
      </c>
      <c r="B19" s="16" t="s">
        <v>25</v>
      </c>
      <c r="C19" s="16" t="s">
        <v>619</v>
      </c>
      <c r="D19" s="15" t="s">
        <v>578</v>
      </c>
      <c r="E19" s="16" t="s">
        <v>666</v>
      </c>
      <c r="F19" s="15" t="n">
        <v>1</v>
      </c>
      <c r="G19" s="16" t="s">
        <v>17</v>
      </c>
      <c r="H19" s="15" t="s">
        <v>621</v>
      </c>
      <c r="I19" s="16" t="s">
        <v>667</v>
      </c>
      <c r="J19" s="16" t="s">
        <v>668</v>
      </c>
    </row>
    <row r="20" customFormat="false" ht="35.05" hidden="false" customHeight="false" outlineLevel="0" collapsed="false">
      <c r="A20" s="15" t="s">
        <v>24</v>
      </c>
      <c r="B20" s="16" t="s">
        <v>25</v>
      </c>
      <c r="C20" s="16" t="s">
        <v>619</v>
      </c>
      <c r="D20" s="15" t="s">
        <v>583</v>
      </c>
      <c r="E20" s="16" t="s">
        <v>669</v>
      </c>
      <c r="F20" s="15" t="n">
        <v>1</v>
      </c>
      <c r="G20" s="16" t="s">
        <v>17</v>
      </c>
      <c r="H20" s="15" t="s">
        <v>621</v>
      </c>
      <c r="I20" s="16" t="s">
        <v>670</v>
      </c>
      <c r="J20" s="16" t="s">
        <v>671</v>
      </c>
    </row>
    <row r="21" customFormat="false" ht="35.05" hidden="false" customHeight="false" outlineLevel="0" collapsed="false">
      <c r="A21" s="15" t="s">
        <v>24</v>
      </c>
      <c r="B21" s="16" t="s">
        <v>25</v>
      </c>
      <c r="C21" s="16" t="s">
        <v>619</v>
      </c>
      <c r="D21" s="15" t="s">
        <v>451</v>
      </c>
      <c r="E21" s="16" t="s">
        <v>672</v>
      </c>
      <c r="F21" s="15" t="n">
        <v>1</v>
      </c>
      <c r="G21" s="16" t="s">
        <v>17</v>
      </c>
      <c r="H21" s="15" t="s">
        <v>621</v>
      </c>
      <c r="I21" s="16" t="s">
        <v>670</v>
      </c>
      <c r="J21" s="16" t="s">
        <v>673</v>
      </c>
    </row>
    <row r="22" customFormat="false" ht="35.05" hidden="false" customHeight="false" outlineLevel="0" collapsed="false">
      <c r="A22" s="15" t="s">
        <v>24</v>
      </c>
      <c r="B22" s="16" t="s">
        <v>25</v>
      </c>
      <c r="C22" s="16" t="s">
        <v>674</v>
      </c>
      <c r="D22" s="15" t="s">
        <v>28</v>
      </c>
      <c r="E22" s="16" t="s">
        <v>652</v>
      </c>
      <c r="F22" s="15" t="n">
        <v>2</v>
      </c>
      <c r="G22" s="16" t="s">
        <v>17</v>
      </c>
      <c r="H22" s="15" t="s">
        <v>627</v>
      </c>
      <c r="I22" s="16" t="s">
        <v>675</v>
      </c>
      <c r="J22" s="16" t="s">
        <v>676</v>
      </c>
    </row>
    <row r="23" customFormat="false" ht="35.05" hidden="false" customHeight="false" outlineLevel="0" collapsed="false">
      <c r="A23" s="15" t="s">
        <v>24</v>
      </c>
      <c r="B23" s="16" t="s">
        <v>25</v>
      </c>
      <c r="C23" s="16" t="s">
        <v>677</v>
      </c>
      <c r="D23" s="15" t="s">
        <v>28</v>
      </c>
      <c r="E23" s="16" t="s">
        <v>652</v>
      </c>
      <c r="F23" s="15" t="n">
        <v>15</v>
      </c>
      <c r="G23" s="16" t="s">
        <v>678</v>
      </c>
      <c r="H23" s="15" t="s">
        <v>654</v>
      </c>
      <c r="I23" s="16" t="s">
        <v>679</v>
      </c>
      <c r="J23" s="16" t="s">
        <v>680</v>
      </c>
    </row>
    <row r="24" customFormat="false" ht="35.05" hidden="false" customHeight="false" outlineLevel="0" collapsed="false">
      <c r="A24" s="15" t="s">
        <v>24</v>
      </c>
      <c r="B24" s="16" t="s">
        <v>30</v>
      </c>
      <c r="C24" s="16" t="s">
        <v>619</v>
      </c>
      <c r="D24" s="15" t="s">
        <v>398</v>
      </c>
      <c r="E24" s="16" t="s">
        <v>641</v>
      </c>
      <c r="F24" s="15" t="n">
        <v>2</v>
      </c>
      <c r="G24" s="16" t="s">
        <v>17</v>
      </c>
      <c r="H24" s="15" t="s">
        <v>627</v>
      </c>
      <c r="I24" s="16" t="s">
        <v>681</v>
      </c>
      <c r="J24" s="16" t="s">
        <v>682</v>
      </c>
    </row>
    <row r="25" customFormat="false" ht="35.05" hidden="false" customHeight="false" outlineLevel="0" collapsed="false">
      <c r="A25" s="15" t="s">
        <v>24</v>
      </c>
      <c r="B25" s="16" t="s">
        <v>30</v>
      </c>
      <c r="C25" s="16" t="s">
        <v>619</v>
      </c>
      <c r="D25" s="15" t="s">
        <v>28</v>
      </c>
      <c r="E25" s="16" t="s">
        <v>652</v>
      </c>
      <c r="F25" s="15" t="n">
        <v>35</v>
      </c>
      <c r="G25" s="16" t="s">
        <v>683</v>
      </c>
      <c r="H25" s="15" t="s">
        <v>654</v>
      </c>
      <c r="I25" s="16" t="s">
        <v>681</v>
      </c>
      <c r="J25" s="16" t="s">
        <v>684</v>
      </c>
    </row>
    <row r="26" customFormat="false" ht="35.05" hidden="false" customHeight="false" outlineLevel="0" collapsed="false">
      <c r="A26" s="15" t="s">
        <v>24</v>
      </c>
      <c r="B26" s="16" t="s">
        <v>30</v>
      </c>
      <c r="C26" s="16" t="s">
        <v>619</v>
      </c>
      <c r="D26" s="15" t="s">
        <v>266</v>
      </c>
      <c r="E26" s="16" t="s">
        <v>685</v>
      </c>
      <c r="F26" s="15" t="n">
        <v>2</v>
      </c>
      <c r="G26" s="16" t="s">
        <v>17</v>
      </c>
      <c r="H26" s="15" t="s">
        <v>627</v>
      </c>
      <c r="I26" s="16" t="s">
        <v>686</v>
      </c>
      <c r="J26" s="16" t="s">
        <v>687</v>
      </c>
    </row>
    <row r="27" customFormat="false" ht="35.05" hidden="false" customHeight="false" outlineLevel="0" collapsed="false">
      <c r="A27" s="15" t="s">
        <v>24</v>
      </c>
      <c r="B27" s="16" t="s">
        <v>30</v>
      </c>
      <c r="C27" s="16" t="s">
        <v>619</v>
      </c>
      <c r="D27" s="15" t="s">
        <v>583</v>
      </c>
      <c r="E27" s="16" t="s">
        <v>669</v>
      </c>
      <c r="F27" s="15" t="n">
        <v>2</v>
      </c>
      <c r="G27" s="16" t="s">
        <v>17</v>
      </c>
      <c r="H27" s="15" t="s">
        <v>627</v>
      </c>
      <c r="I27" s="16" t="s">
        <v>681</v>
      </c>
      <c r="J27" s="16" t="s">
        <v>688</v>
      </c>
    </row>
    <row r="28" customFormat="false" ht="35.05" hidden="false" customHeight="false" outlineLevel="0" collapsed="false">
      <c r="A28" s="15" t="s">
        <v>24</v>
      </c>
      <c r="B28" s="16" t="s">
        <v>33</v>
      </c>
      <c r="C28" s="16" t="s">
        <v>619</v>
      </c>
      <c r="D28" s="15" t="s">
        <v>398</v>
      </c>
      <c r="E28" s="16" t="s">
        <v>641</v>
      </c>
      <c r="F28" s="15" t="n">
        <v>4</v>
      </c>
      <c r="G28" s="16" t="s">
        <v>17</v>
      </c>
      <c r="H28" s="15" t="s">
        <v>627</v>
      </c>
      <c r="I28" s="16" t="s">
        <v>689</v>
      </c>
      <c r="J28" s="16" t="s">
        <v>690</v>
      </c>
    </row>
    <row r="29" customFormat="false" ht="35.05" hidden="false" customHeight="false" outlineLevel="0" collapsed="false">
      <c r="A29" s="15" t="s">
        <v>24</v>
      </c>
      <c r="B29" s="16" t="s">
        <v>33</v>
      </c>
      <c r="C29" s="16" t="s">
        <v>619</v>
      </c>
      <c r="D29" s="15" t="s">
        <v>571</v>
      </c>
      <c r="E29" s="16" t="s">
        <v>637</v>
      </c>
      <c r="F29" s="15" t="n">
        <v>2</v>
      </c>
      <c r="G29" s="16" t="s">
        <v>17</v>
      </c>
      <c r="H29" s="15" t="s">
        <v>627</v>
      </c>
      <c r="I29" s="16" t="s">
        <v>691</v>
      </c>
      <c r="J29" s="16" t="s">
        <v>692</v>
      </c>
    </row>
    <row r="30" customFormat="false" ht="35.05" hidden="false" customHeight="false" outlineLevel="0" collapsed="false">
      <c r="A30" s="15" t="s">
        <v>24</v>
      </c>
      <c r="B30" s="16" t="s">
        <v>33</v>
      </c>
      <c r="C30" s="16" t="s">
        <v>619</v>
      </c>
      <c r="D30" s="15" t="s">
        <v>179</v>
      </c>
      <c r="E30" s="16" t="s">
        <v>693</v>
      </c>
      <c r="F30" s="15" t="n">
        <v>4</v>
      </c>
      <c r="G30" s="16" t="s">
        <v>17</v>
      </c>
      <c r="H30" s="15" t="s">
        <v>627</v>
      </c>
      <c r="I30" s="16" t="s">
        <v>694</v>
      </c>
      <c r="J30" s="16" t="s">
        <v>695</v>
      </c>
    </row>
    <row r="31" customFormat="false" ht="35.05" hidden="false" customHeight="false" outlineLevel="0" collapsed="false">
      <c r="A31" s="15" t="s">
        <v>24</v>
      </c>
      <c r="B31" s="16" t="s">
        <v>36</v>
      </c>
      <c r="C31" s="16" t="s">
        <v>619</v>
      </c>
      <c r="D31" s="15" t="s">
        <v>38</v>
      </c>
      <c r="E31" s="16" t="s">
        <v>696</v>
      </c>
      <c r="F31" s="15" t="n">
        <v>3</v>
      </c>
      <c r="G31" s="16" t="s">
        <v>697</v>
      </c>
      <c r="H31" s="15" t="s">
        <v>654</v>
      </c>
      <c r="I31" s="16" t="s">
        <v>697</v>
      </c>
      <c r="J31" s="16" t="s">
        <v>698</v>
      </c>
    </row>
    <row r="32" customFormat="false" ht="35.05" hidden="false" customHeight="false" outlineLevel="0" collapsed="false">
      <c r="A32" s="15" t="s">
        <v>24</v>
      </c>
      <c r="B32" s="16" t="s">
        <v>39</v>
      </c>
      <c r="C32" s="16" t="s">
        <v>619</v>
      </c>
      <c r="D32" s="15" t="s">
        <v>561</v>
      </c>
      <c r="E32" s="16" t="s">
        <v>634</v>
      </c>
      <c r="F32" s="15" t="n">
        <v>1</v>
      </c>
      <c r="G32" s="16" t="s">
        <v>17</v>
      </c>
      <c r="H32" s="15" t="s">
        <v>621</v>
      </c>
      <c r="I32" s="16" t="s">
        <v>699</v>
      </c>
      <c r="J32" s="16" t="s">
        <v>700</v>
      </c>
    </row>
    <row r="33" customFormat="false" ht="35.05" hidden="false" customHeight="false" outlineLevel="0" collapsed="false">
      <c r="A33" s="15" t="s">
        <v>24</v>
      </c>
      <c r="B33" s="16" t="s">
        <v>39</v>
      </c>
      <c r="C33" s="16" t="s">
        <v>619</v>
      </c>
      <c r="D33" s="15" t="s">
        <v>42</v>
      </c>
      <c r="E33" s="16" t="s">
        <v>701</v>
      </c>
      <c r="F33" s="15" t="n">
        <v>4</v>
      </c>
      <c r="G33" s="16" t="s">
        <v>702</v>
      </c>
      <c r="H33" s="15" t="s">
        <v>654</v>
      </c>
      <c r="I33" s="16" t="s">
        <v>703</v>
      </c>
      <c r="J33" s="16" t="s">
        <v>704</v>
      </c>
    </row>
    <row r="34" customFormat="false" ht="35.05" hidden="false" customHeight="false" outlineLevel="0" collapsed="false">
      <c r="A34" s="15" t="s">
        <v>24</v>
      </c>
      <c r="B34" s="16" t="s">
        <v>39</v>
      </c>
      <c r="C34" s="16" t="s">
        <v>619</v>
      </c>
      <c r="D34" s="15" t="s">
        <v>220</v>
      </c>
      <c r="E34" s="16" t="s">
        <v>646</v>
      </c>
      <c r="F34" s="15" t="n">
        <v>2</v>
      </c>
      <c r="G34" s="16" t="s">
        <v>17</v>
      </c>
      <c r="H34" s="15" t="s">
        <v>627</v>
      </c>
      <c r="I34" s="16" t="s">
        <v>705</v>
      </c>
      <c r="J34" s="16" t="s">
        <v>706</v>
      </c>
    </row>
    <row r="35" customFormat="false" ht="35.05" hidden="false" customHeight="false" outlineLevel="0" collapsed="false">
      <c r="A35" s="15" t="s">
        <v>24</v>
      </c>
      <c r="B35" s="16" t="s">
        <v>39</v>
      </c>
      <c r="C35" s="16" t="s">
        <v>619</v>
      </c>
      <c r="D35" s="15" t="s">
        <v>567</v>
      </c>
      <c r="E35" s="16" t="s">
        <v>707</v>
      </c>
      <c r="F35" s="15" t="n">
        <v>1</v>
      </c>
      <c r="G35" s="16" t="s">
        <v>17</v>
      </c>
      <c r="H35" s="15" t="s">
        <v>621</v>
      </c>
      <c r="I35" s="16" t="s">
        <v>708</v>
      </c>
      <c r="J35" s="16" t="s">
        <v>709</v>
      </c>
    </row>
    <row r="36" customFormat="false" ht="35.05" hidden="false" customHeight="false" outlineLevel="0" collapsed="false">
      <c r="A36" s="15" t="s">
        <v>24</v>
      </c>
      <c r="B36" s="16" t="s">
        <v>39</v>
      </c>
      <c r="C36" s="16" t="s">
        <v>619</v>
      </c>
      <c r="D36" s="15" t="s">
        <v>38</v>
      </c>
      <c r="E36" s="16" t="s">
        <v>696</v>
      </c>
      <c r="F36" s="15" t="n">
        <v>2</v>
      </c>
      <c r="G36" s="16" t="s">
        <v>17</v>
      </c>
      <c r="H36" s="15" t="s">
        <v>627</v>
      </c>
      <c r="I36" s="16" t="s">
        <v>710</v>
      </c>
      <c r="J36" s="16" t="s">
        <v>711</v>
      </c>
    </row>
    <row r="37" customFormat="false" ht="35.05" hidden="false" customHeight="false" outlineLevel="0" collapsed="false">
      <c r="A37" s="15" t="s">
        <v>24</v>
      </c>
      <c r="B37" s="16" t="s">
        <v>39</v>
      </c>
      <c r="C37" s="16" t="s">
        <v>619</v>
      </c>
      <c r="D37" s="15" t="s">
        <v>294</v>
      </c>
      <c r="E37" s="16" t="s">
        <v>640</v>
      </c>
      <c r="F37" s="15" t="n">
        <v>2</v>
      </c>
      <c r="G37" s="16" t="s">
        <v>17</v>
      </c>
      <c r="H37" s="15" t="s">
        <v>627</v>
      </c>
      <c r="I37" s="16" t="s">
        <v>712</v>
      </c>
      <c r="J37" s="16" t="s">
        <v>713</v>
      </c>
    </row>
    <row r="38" customFormat="false" ht="35.05" hidden="false" customHeight="false" outlineLevel="0" collapsed="false">
      <c r="A38" s="15" t="s">
        <v>24</v>
      </c>
      <c r="B38" s="16" t="s">
        <v>39</v>
      </c>
      <c r="C38" s="16" t="s">
        <v>619</v>
      </c>
      <c r="D38" s="15" t="s">
        <v>296</v>
      </c>
      <c r="E38" s="16" t="s">
        <v>714</v>
      </c>
      <c r="F38" s="15" t="n">
        <v>1</v>
      </c>
      <c r="G38" s="16" t="s">
        <v>17</v>
      </c>
      <c r="H38" s="15" t="s">
        <v>621</v>
      </c>
      <c r="I38" s="16" t="s">
        <v>705</v>
      </c>
      <c r="J38" s="16" t="s">
        <v>715</v>
      </c>
    </row>
    <row r="39" customFormat="false" ht="35.05" hidden="false" customHeight="false" outlineLevel="0" collapsed="false">
      <c r="A39" s="15" t="s">
        <v>24</v>
      </c>
      <c r="B39" s="16" t="s">
        <v>43</v>
      </c>
      <c r="C39" s="16" t="s">
        <v>619</v>
      </c>
      <c r="D39" s="15" t="s">
        <v>562</v>
      </c>
      <c r="E39" s="16" t="s">
        <v>716</v>
      </c>
      <c r="F39" s="15" t="n">
        <v>2</v>
      </c>
      <c r="G39" s="16" t="s">
        <v>17</v>
      </c>
      <c r="H39" s="15" t="s">
        <v>627</v>
      </c>
      <c r="I39" s="16" t="s">
        <v>717</v>
      </c>
      <c r="J39" s="16" t="s">
        <v>718</v>
      </c>
    </row>
    <row r="40" customFormat="false" ht="35.05" hidden="false" customHeight="false" outlineLevel="0" collapsed="false">
      <c r="A40" s="15" t="s">
        <v>24</v>
      </c>
      <c r="B40" s="16" t="s">
        <v>43</v>
      </c>
      <c r="C40" s="16" t="s">
        <v>619</v>
      </c>
      <c r="D40" s="15" t="s">
        <v>220</v>
      </c>
      <c r="E40" s="16" t="s">
        <v>646</v>
      </c>
      <c r="F40" s="15" t="n">
        <v>12</v>
      </c>
      <c r="G40" s="16" t="s">
        <v>17</v>
      </c>
      <c r="H40" s="15" t="s">
        <v>654</v>
      </c>
      <c r="I40" s="16" t="s">
        <v>717</v>
      </c>
      <c r="J40" s="16" t="s">
        <v>719</v>
      </c>
    </row>
    <row r="41" customFormat="false" ht="35.05" hidden="false" customHeight="false" outlineLevel="0" collapsed="false">
      <c r="A41" s="15" t="s">
        <v>24</v>
      </c>
      <c r="B41" s="16" t="s">
        <v>43</v>
      </c>
      <c r="C41" s="16" t="s">
        <v>619</v>
      </c>
      <c r="D41" s="15" t="s">
        <v>76</v>
      </c>
      <c r="E41" s="16" t="s">
        <v>660</v>
      </c>
      <c r="F41" s="15" t="n">
        <v>2</v>
      </c>
      <c r="G41" s="16" t="s">
        <v>17</v>
      </c>
      <c r="H41" s="15" t="s">
        <v>627</v>
      </c>
      <c r="I41" s="16" t="s">
        <v>720</v>
      </c>
      <c r="J41" s="16" t="s">
        <v>721</v>
      </c>
    </row>
    <row r="42" customFormat="false" ht="35.05" hidden="false" customHeight="false" outlineLevel="0" collapsed="false">
      <c r="A42" s="15" t="s">
        <v>24</v>
      </c>
      <c r="B42" s="16" t="s">
        <v>43</v>
      </c>
      <c r="C42" s="16" t="s">
        <v>619</v>
      </c>
      <c r="D42" s="15" t="s">
        <v>566</v>
      </c>
      <c r="E42" s="16" t="s">
        <v>722</v>
      </c>
      <c r="F42" s="15" t="n">
        <v>1</v>
      </c>
      <c r="G42" s="16" t="s">
        <v>17</v>
      </c>
      <c r="H42" s="15" t="s">
        <v>621</v>
      </c>
      <c r="I42" s="16" t="s">
        <v>723</v>
      </c>
      <c r="J42" s="16" t="s">
        <v>724</v>
      </c>
    </row>
    <row r="43" customFormat="false" ht="91" hidden="false" customHeight="false" outlineLevel="0" collapsed="false">
      <c r="A43" s="15" t="s">
        <v>24</v>
      </c>
      <c r="B43" s="16" t="s">
        <v>43</v>
      </c>
      <c r="C43" s="16" t="s">
        <v>619</v>
      </c>
      <c r="D43" s="15" t="s">
        <v>63</v>
      </c>
      <c r="E43" s="16" t="s">
        <v>725</v>
      </c>
      <c r="F43" s="15" t="n">
        <v>50</v>
      </c>
      <c r="G43" s="16" t="s">
        <v>726</v>
      </c>
      <c r="H43" s="15" t="s">
        <v>654</v>
      </c>
      <c r="I43" s="16" t="s">
        <v>727</v>
      </c>
      <c r="J43" s="16" t="s">
        <v>728</v>
      </c>
    </row>
    <row r="44" customFormat="false" ht="35.05" hidden="false" customHeight="false" outlineLevel="0" collapsed="false">
      <c r="A44" s="15" t="s">
        <v>24</v>
      </c>
      <c r="B44" s="16" t="s">
        <v>43</v>
      </c>
      <c r="C44" s="16" t="s">
        <v>619</v>
      </c>
      <c r="D44" s="15" t="s">
        <v>59</v>
      </c>
      <c r="E44" s="16" t="s">
        <v>662</v>
      </c>
      <c r="F44" s="15" t="n">
        <v>14</v>
      </c>
      <c r="G44" s="16" t="s">
        <v>17</v>
      </c>
      <c r="H44" s="15" t="s">
        <v>654</v>
      </c>
      <c r="I44" s="16" t="s">
        <v>723</v>
      </c>
      <c r="J44" s="16" t="s">
        <v>729</v>
      </c>
    </row>
    <row r="45" customFormat="false" ht="35.05" hidden="false" customHeight="false" outlineLevel="0" collapsed="false">
      <c r="A45" s="15" t="s">
        <v>24</v>
      </c>
      <c r="B45" s="16" t="s">
        <v>43</v>
      </c>
      <c r="C45" s="16" t="s">
        <v>619</v>
      </c>
      <c r="D45" s="15" t="s">
        <v>570</v>
      </c>
      <c r="E45" s="16" t="s">
        <v>730</v>
      </c>
      <c r="F45" s="15" t="n">
        <v>1</v>
      </c>
      <c r="G45" s="16" t="s">
        <v>17</v>
      </c>
      <c r="H45" s="15" t="s">
        <v>621</v>
      </c>
      <c r="I45" s="16" t="s">
        <v>723</v>
      </c>
      <c r="J45" s="16" t="s">
        <v>731</v>
      </c>
    </row>
    <row r="46" customFormat="false" ht="35.05" hidden="false" customHeight="false" outlineLevel="0" collapsed="false">
      <c r="A46" s="15" t="s">
        <v>24</v>
      </c>
      <c r="B46" s="16" t="s">
        <v>43</v>
      </c>
      <c r="C46" s="16" t="s">
        <v>619</v>
      </c>
      <c r="D46" s="15" t="s">
        <v>574</v>
      </c>
      <c r="E46" s="16" t="s">
        <v>732</v>
      </c>
      <c r="F46" s="15" t="n">
        <v>1</v>
      </c>
      <c r="G46" s="16" t="s">
        <v>17</v>
      </c>
      <c r="H46" s="15" t="s">
        <v>621</v>
      </c>
      <c r="I46" s="16" t="s">
        <v>723</v>
      </c>
      <c r="J46" s="16" t="s">
        <v>733</v>
      </c>
    </row>
    <row r="47" customFormat="false" ht="35.05" hidden="false" customHeight="false" outlineLevel="0" collapsed="false">
      <c r="A47" s="15" t="s">
        <v>24</v>
      </c>
      <c r="B47" s="16" t="s">
        <v>43</v>
      </c>
      <c r="C47" s="16" t="s">
        <v>619</v>
      </c>
      <c r="D47" s="15" t="s">
        <v>296</v>
      </c>
      <c r="E47" s="16" t="s">
        <v>714</v>
      </c>
      <c r="F47" s="15" t="n">
        <v>2</v>
      </c>
      <c r="G47" s="16" t="s">
        <v>17</v>
      </c>
      <c r="H47" s="15" t="s">
        <v>627</v>
      </c>
      <c r="I47" s="16" t="s">
        <v>723</v>
      </c>
      <c r="J47" s="16" t="s">
        <v>734</v>
      </c>
    </row>
    <row r="48" customFormat="false" ht="35.05" hidden="false" customHeight="false" outlineLevel="0" collapsed="false">
      <c r="A48" s="15" t="s">
        <v>24</v>
      </c>
      <c r="B48" s="16" t="s">
        <v>43</v>
      </c>
      <c r="C48" s="16" t="s">
        <v>619</v>
      </c>
      <c r="D48" s="15" t="s">
        <v>578</v>
      </c>
      <c r="E48" s="16" t="s">
        <v>666</v>
      </c>
      <c r="F48" s="15" t="n">
        <v>2</v>
      </c>
      <c r="G48" s="16" t="s">
        <v>17</v>
      </c>
      <c r="H48" s="15" t="s">
        <v>627</v>
      </c>
      <c r="I48" s="16" t="s">
        <v>723</v>
      </c>
      <c r="J48" s="16" t="s">
        <v>735</v>
      </c>
    </row>
    <row r="49" customFormat="false" ht="35.05" hidden="false" customHeight="false" outlineLevel="0" collapsed="false">
      <c r="A49" s="15" t="s">
        <v>24</v>
      </c>
      <c r="B49" s="16" t="s">
        <v>43</v>
      </c>
      <c r="C49" s="16" t="s">
        <v>619</v>
      </c>
      <c r="D49" s="15" t="s">
        <v>369</v>
      </c>
      <c r="E49" s="16" t="s">
        <v>736</v>
      </c>
      <c r="F49" s="15" t="n">
        <v>1</v>
      </c>
      <c r="G49" s="16" t="s">
        <v>17</v>
      </c>
      <c r="H49" s="15" t="s">
        <v>621</v>
      </c>
      <c r="I49" s="16" t="s">
        <v>723</v>
      </c>
      <c r="J49" s="16" t="s">
        <v>737</v>
      </c>
    </row>
    <row r="50" customFormat="false" ht="35.05" hidden="false" customHeight="false" outlineLevel="0" collapsed="false">
      <c r="A50" s="15" t="s">
        <v>24</v>
      </c>
      <c r="B50" s="16" t="s">
        <v>43</v>
      </c>
      <c r="C50" s="16" t="s">
        <v>619</v>
      </c>
      <c r="D50" s="15" t="s">
        <v>402</v>
      </c>
      <c r="E50" s="16" t="s">
        <v>738</v>
      </c>
      <c r="F50" s="15" t="n">
        <v>17</v>
      </c>
      <c r="G50" s="16" t="s">
        <v>17</v>
      </c>
      <c r="H50" s="15" t="s">
        <v>654</v>
      </c>
      <c r="I50" s="16" t="s">
        <v>723</v>
      </c>
      <c r="J50" s="16" t="s">
        <v>739</v>
      </c>
    </row>
    <row r="51" customFormat="false" ht="35.05" hidden="false" customHeight="false" outlineLevel="0" collapsed="false">
      <c r="A51" s="15" t="s">
        <v>24</v>
      </c>
      <c r="B51" s="16" t="s">
        <v>43</v>
      </c>
      <c r="C51" s="16" t="s">
        <v>619</v>
      </c>
      <c r="D51" s="15" t="s">
        <v>390</v>
      </c>
      <c r="E51" s="16" t="s">
        <v>740</v>
      </c>
      <c r="F51" s="15" t="n">
        <v>8</v>
      </c>
      <c r="G51" s="16" t="s">
        <v>17</v>
      </c>
      <c r="H51" s="15" t="s">
        <v>654</v>
      </c>
      <c r="I51" s="16" t="s">
        <v>723</v>
      </c>
      <c r="J51" s="16" t="s">
        <v>741</v>
      </c>
    </row>
    <row r="52" customFormat="false" ht="35.05" hidden="false" customHeight="false" outlineLevel="0" collapsed="false">
      <c r="A52" s="15" t="s">
        <v>24</v>
      </c>
      <c r="B52" s="16" t="s">
        <v>43</v>
      </c>
      <c r="C52" s="16" t="s">
        <v>619</v>
      </c>
      <c r="D52" s="15" t="s">
        <v>109</v>
      </c>
      <c r="E52" s="16" t="s">
        <v>742</v>
      </c>
      <c r="F52" s="15" t="n">
        <v>2</v>
      </c>
      <c r="G52" s="16" t="s">
        <v>17</v>
      </c>
      <c r="H52" s="15" t="s">
        <v>627</v>
      </c>
      <c r="I52" s="16" t="s">
        <v>723</v>
      </c>
      <c r="J52" s="16" t="s">
        <v>743</v>
      </c>
    </row>
    <row r="53" customFormat="false" ht="35.05" hidden="false" customHeight="false" outlineLevel="0" collapsed="false">
      <c r="A53" s="15" t="s">
        <v>24</v>
      </c>
      <c r="B53" s="16" t="s">
        <v>43</v>
      </c>
      <c r="C53" s="16" t="s">
        <v>47</v>
      </c>
      <c r="D53" s="15" t="s">
        <v>220</v>
      </c>
      <c r="E53" s="16" t="s">
        <v>646</v>
      </c>
      <c r="F53" s="15" t="n">
        <v>1</v>
      </c>
      <c r="G53" s="16" t="s">
        <v>17</v>
      </c>
      <c r="H53" s="15" t="s">
        <v>621</v>
      </c>
      <c r="I53" s="16" t="s">
        <v>744</v>
      </c>
      <c r="J53" s="16" t="s">
        <v>745</v>
      </c>
    </row>
    <row r="54" customFormat="false" ht="35.05" hidden="false" customHeight="false" outlineLevel="0" collapsed="false">
      <c r="A54" s="15" t="s">
        <v>24</v>
      </c>
      <c r="B54" s="16" t="s">
        <v>43</v>
      </c>
      <c r="C54" s="16" t="s">
        <v>47</v>
      </c>
      <c r="D54" s="15" t="s">
        <v>63</v>
      </c>
      <c r="E54" s="16" t="s">
        <v>725</v>
      </c>
      <c r="F54" s="15" t="n">
        <v>34</v>
      </c>
      <c r="G54" s="16" t="s">
        <v>746</v>
      </c>
      <c r="H54" s="15" t="s">
        <v>654</v>
      </c>
      <c r="I54" s="16" t="s">
        <v>747</v>
      </c>
      <c r="J54" s="16" t="s">
        <v>748</v>
      </c>
    </row>
    <row r="55" customFormat="false" ht="35.05" hidden="false" customHeight="false" outlineLevel="0" collapsed="false">
      <c r="A55" s="15" t="s">
        <v>24</v>
      </c>
      <c r="B55" s="16" t="s">
        <v>43</v>
      </c>
      <c r="C55" s="16" t="s">
        <v>47</v>
      </c>
      <c r="D55" s="15" t="s">
        <v>59</v>
      </c>
      <c r="E55" s="16" t="s">
        <v>662</v>
      </c>
      <c r="F55" s="15" t="n">
        <v>1</v>
      </c>
      <c r="G55" s="16" t="s">
        <v>17</v>
      </c>
      <c r="H55" s="15" t="s">
        <v>621</v>
      </c>
      <c r="I55" s="16" t="s">
        <v>749</v>
      </c>
      <c r="J55" s="16" t="s">
        <v>750</v>
      </c>
    </row>
    <row r="56" customFormat="false" ht="35.05" hidden="false" customHeight="false" outlineLevel="0" collapsed="false">
      <c r="A56" s="15" t="s">
        <v>24</v>
      </c>
      <c r="B56" s="16" t="s">
        <v>43</v>
      </c>
      <c r="C56" s="16" t="s">
        <v>47</v>
      </c>
      <c r="D56" s="15" t="s">
        <v>48</v>
      </c>
      <c r="E56" s="16" t="s">
        <v>751</v>
      </c>
      <c r="F56" s="15" t="n">
        <v>1</v>
      </c>
      <c r="G56" s="16" t="s">
        <v>17</v>
      </c>
      <c r="H56" s="15" t="s">
        <v>621</v>
      </c>
      <c r="I56" s="16" t="s">
        <v>752</v>
      </c>
      <c r="J56" s="16" t="s">
        <v>753</v>
      </c>
    </row>
    <row r="57" customFormat="false" ht="35.05" hidden="false" customHeight="false" outlineLevel="0" collapsed="false">
      <c r="A57" s="15" t="s">
        <v>24</v>
      </c>
      <c r="B57" s="16" t="s">
        <v>43</v>
      </c>
      <c r="C57" s="16" t="s">
        <v>47</v>
      </c>
      <c r="D57" s="15" t="s">
        <v>296</v>
      </c>
      <c r="E57" s="16" t="s">
        <v>714</v>
      </c>
      <c r="F57" s="15" t="n">
        <v>3</v>
      </c>
      <c r="G57" s="16" t="s">
        <v>17</v>
      </c>
      <c r="H57" s="15" t="s">
        <v>627</v>
      </c>
      <c r="I57" s="16" t="s">
        <v>749</v>
      </c>
      <c r="J57" s="16" t="s">
        <v>754</v>
      </c>
    </row>
    <row r="58" customFormat="false" ht="35.05" hidden="false" customHeight="false" outlineLevel="0" collapsed="false">
      <c r="A58" s="15" t="s">
        <v>24</v>
      </c>
      <c r="B58" s="16" t="s">
        <v>43</v>
      </c>
      <c r="C58" s="16" t="s">
        <v>47</v>
      </c>
      <c r="D58" s="15" t="s">
        <v>578</v>
      </c>
      <c r="E58" s="16" t="s">
        <v>666</v>
      </c>
      <c r="F58" s="15" t="n">
        <v>1</v>
      </c>
      <c r="G58" s="16" t="s">
        <v>17</v>
      </c>
      <c r="H58" s="15" t="s">
        <v>621</v>
      </c>
      <c r="I58" s="16" t="s">
        <v>749</v>
      </c>
      <c r="J58" s="16" t="s">
        <v>755</v>
      </c>
    </row>
    <row r="59" customFormat="false" ht="35.05" hidden="false" customHeight="false" outlineLevel="0" collapsed="false">
      <c r="A59" s="15" t="s">
        <v>24</v>
      </c>
      <c r="B59" s="16" t="s">
        <v>43</v>
      </c>
      <c r="C59" s="16" t="s">
        <v>47</v>
      </c>
      <c r="D59" s="15" t="s">
        <v>402</v>
      </c>
      <c r="E59" s="16" t="s">
        <v>738</v>
      </c>
      <c r="F59" s="15" t="n">
        <v>4</v>
      </c>
      <c r="G59" s="16" t="s">
        <v>17</v>
      </c>
      <c r="H59" s="15" t="s">
        <v>627</v>
      </c>
      <c r="I59" s="16" t="s">
        <v>749</v>
      </c>
      <c r="J59" s="16" t="s">
        <v>756</v>
      </c>
    </row>
    <row r="60" customFormat="false" ht="46.25" hidden="false" customHeight="false" outlineLevel="0" collapsed="false">
      <c r="A60" s="15" t="s">
        <v>24</v>
      </c>
      <c r="B60" s="16" t="s">
        <v>49</v>
      </c>
      <c r="C60" s="16" t="s">
        <v>619</v>
      </c>
      <c r="D60" s="15" t="s">
        <v>63</v>
      </c>
      <c r="E60" s="16" t="s">
        <v>725</v>
      </c>
      <c r="F60" s="15" t="n">
        <v>5</v>
      </c>
      <c r="G60" s="16" t="s">
        <v>757</v>
      </c>
      <c r="H60" s="15" t="s">
        <v>654</v>
      </c>
      <c r="I60" s="16" t="s">
        <v>758</v>
      </c>
      <c r="J60" s="16" t="s">
        <v>759</v>
      </c>
    </row>
    <row r="61" customFormat="false" ht="57.45" hidden="false" customHeight="false" outlineLevel="0" collapsed="false">
      <c r="A61" s="15" t="s">
        <v>24</v>
      </c>
      <c r="B61" s="16" t="s">
        <v>49</v>
      </c>
      <c r="C61" s="16" t="s">
        <v>619</v>
      </c>
      <c r="D61" s="15" t="s">
        <v>59</v>
      </c>
      <c r="E61" s="16" t="s">
        <v>662</v>
      </c>
      <c r="F61" s="15" t="n">
        <v>20</v>
      </c>
      <c r="G61" s="16" t="s">
        <v>17</v>
      </c>
      <c r="H61" s="15" t="s">
        <v>654</v>
      </c>
      <c r="I61" s="16" t="s">
        <v>760</v>
      </c>
      <c r="J61" s="16" t="s">
        <v>761</v>
      </c>
    </row>
    <row r="62" customFormat="false" ht="35.05" hidden="false" customHeight="false" outlineLevel="0" collapsed="false">
      <c r="A62" s="15" t="s">
        <v>24</v>
      </c>
      <c r="B62" s="16" t="s">
        <v>49</v>
      </c>
      <c r="C62" s="16" t="s">
        <v>52</v>
      </c>
      <c r="D62" s="15" t="s">
        <v>59</v>
      </c>
      <c r="E62" s="16" t="s">
        <v>662</v>
      </c>
      <c r="F62" s="15" t="n">
        <v>2</v>
      </c>
      <c r="G62" s="16" t="s">
        <v>17</v>
      </c>
      <c r="H62" s="15" t="s">
        <v>627</v>
      </c>
      <c r="I62" s="16" t="s">
        <v>762</v>
      </c>
      <c r="J62" s="16" t="s">
        <v>763</v>
      </c>
    </row>
    <row r="63" customFormat="false" ht="57.45" hidden="false" customHeight="false" outlineLevel="0" collapsed="false">
      <c r="A63" s="15" t="s">
        <v>24</v>
      </c>
      <c r="B63" s="16" t="s">
        <v>53</v>
      </c>
      <c r="C63" s="16" t="s">
        <v>619</v>
      </c>
      <c r="D63" s="15" t="s">
        <v>63</v>
      </c>
      <c r="E63" s="16" t="s">
        <v>725</v>
      </c>
      <c r="F63" s="15" t="n">
        <v>14</v>
      </c>
      <c r="G63" s="16" t="s">
        <v>757</v>
      </c>
      <c r="H63" s="15" t="s">
        <v>654</v>
      </c>
      <c r="I63" s="16" t="s">
        <v>764</v>
      </c>
      <c r="J63" s="16" t="s">
        <v>759</v>
      </c>
    </row>
    <row r="64" customFormat="false" ht="68.65" hidden="false" customHeight="false" outlineLevel="0" collapsed="false">
      <c r="A64" s="15" t="s">
        <v>24</v>
      </c>
      <c r="B64" s="16" t="s">
        <v>53</v>
      </c>
      <c r="C64" s="16" t="s">
        <v>619</v>
      </c>
      <c r="D64" s="15" t="s">
        <v>59</v>
      </c>
      <c r="E64" s="16" t="s">
        <v>662</v>
      </c>
      <c r="F64" s="15" t="n">
        <v>13</v>
      </c>
      <c r="G64" s="16" t="s">
        <v>17</v>
      </c>
      <c r="H64" s="15" t="s">
        <v>654</v>
      </c>
      <c r="I64" s="16" t="s">
        <v>765</v>
      </c>
      <c r="J64" s="16" t="s">
        <v>766</v>
      </c>
    </row>
    <row r="65" customFormat="false" ht="57.45" hidden="false" customHeight="false" outlineLevel="0" collapsed="false">
      <c r="A65" s="15" t="s">
        <v>24</v>
      </c>
      <c r="B65" s="16" t="s">
        <v>53</v>
      </c>
      <c r="C65" s="16" t="s">
        <v>55</v>
      </c>
      <c r="D65" s="15" t="s">
        <v>59</v>
      </c>
      <c r="E65" s="16" t="s">
        <v>662</v>
      </c>
      <c r="F65" s="15" t="n">
        <v>6</v>
      </c>
      <c r="G65" s="16" t="s">
        <v>17</v>
      </c>
      <c r="H65" s="15" t="s">
        <v>654</v>
      </c>
      <c r="I65" s="16" t="s">
        <v>767</v>
      </c>
      <c r="J65" s="16" t="s">
        <v>768</v>
      </c>
    </row>
    <row r="66" customFormat="false" ht="35.05" hidden="false" customHeight="false" outlineLevel="0" collapsed="false">
      <c r="A66" s="15" t="s">
        <v>24</v>
      </c>
      <c r="B66" s="16" t="s">
        <v>56</v>
      </c>
      <c r="C66" s="16" t="s">
        <v>619</v>
      </c>
      <c r="D66" s="15" t="s">
        <v>59</v>
      </c>
      <c r="E66" s="16" t="s">
        <v>662</v>
      </c>
      <c r="F66" s="15" t="n">
        <v>14</v>
      </c>
      <c r="G66" s="16" t="s">
        <v>769</v>
      </c>
      <c r="H66" s="15" t="s">
        <v>654</v>
      </c>
      <c r="I66" s="16" t="s">
        <v>770</v>
      </c>
      <c r="J66" s="16" t="s">
        <v>771</v>
      </c>
    </row>
    <row r="67" customFormat="false" ht="35.05" hidden="false" customHeight="false" outlineLevel="0" collapsed="false">
      <c r="A67" s="15" t="s">
        <v>24</v>
      </c>
      <c r="B67" s="16" t="s">
        <v>56</v>
      </c>
      <c r="C67" s="16" t="s">
        <v>619</v>
      </c>
      <c r="D67" s="15" t="s">
        <v>420</v>
      </c>
      <c r="E67" s="16" t="s">
        <v>772</v>
      </c>
      <c r="F67" s="15" t="n">
        <v>2</v>
      </c>
      <c r="G67" s="16" t="s">
        <v>17</v>
      </c>
      <c r="H67" s="15" t="s">
        <v>627</v>
      </c>
      <c r="I67" s="16" t="s">
        <v>773</v>
      </c>
      <c r="J67" s="16" t="s">
        <v>774</v>
      </c>
    </row>
    <row r="68" customFormat="false" ht="35.05" hidden="false" customHeight="false" outlineLevel="0" collapsed="false">
      <c r="A68" s="15" t="s">
        <v>24</v>
      </c>
      <c r="B68" s="16" t="s">
        <v>56</v>
      </c>
      <c r="C68" s="16" t="s">
        <v>619</v>
      </c>
      <c r="D68" s="15" t="s">
        <v>473</v>
      </c>
      <c r="E68" s="16" t="s">
        <v>775</v>
      </c>
      <c r="F68" s="15" t="n">
        <v>1</v>
      </c>
      <c r="G68" s="16" t="s">
        <v>17</v>
      </c>
      <c r="H68" s="15" t="s">
        <v>621</v>
      </c>
      <c r="I68" s="16" t="s">
        <v>773</v>
      </c>
      <c r="J68" s="16" t="s">
        <v>776</v>
      </c>
    </row>
    <row r="69" customFormat="false" ht="46.25" hidden="false" customHeight="false" outlineLevel="0" collapsed="false">
      <c r="A69" s="15" t="s">
        <v>24</v>
      </c>
      <c r="B69" s="16" t="s">
        <v>60</v>
      </c>
      <c r="C69" s="16" t="s">
        <v>619</v>
      </c>
      <c r="D69" s="15" t="s">
        <v>63</v>
      </c>
      <c r="E69" s="16" t="s">
        <v>725</v>
      </c>
      <c r="F69" s="15" t="n">
        <v>11</v>
      </c>
      <c r="G69" s="16" t="s">
        <v>777</v>
      </c>
      <c r="H69" s="15" t="s">
        <v>654</v>
      </c>
      <c r="I69" s="16" t="s">
        <v>778</v>
      </c>
      <c r="J69" s="16" t="s">
        <v>779</v>
      </c>
    </row>
    <row r="70" customFormat="false" ht="35.05" hidden="false" customHeight="false" outlineLevel="0" collapsed="false">
      <c r="A70" s="15" t="s">
        <v>24</v>
      </c>
      <c r="B70" s="16" t="s">
        <v>60</v>
      </c>
      <c r="C70" s="16" t="s">
        <v>619</v>
      </c>
      <c r="D70" s="15" t="s">
        <v>59</v>
      </c>
      <c r="E70" s="16" t="s">
        <v>662</v>
      </c>
      <c r="F70" s="15" t="n">
        <v>2</v>
      </c>
      <c r="G70" s="16" t="s">
        <v>17</v>
      </c>
      <c r="H70" s="15" t="s">
        <v>627</v>
      </c>
      <c r="I70" s="16" t="s">
        <v>780</v>
      </c>
      <c r="J70" s="16" t="s">
        <v>781</v>
      </c>
    </row>
    <row r="71" customFormat="false" ht="35.05" hidden="false" customHeight="false" outlineLevel="0" collapsed="false">
      <c r="A71" s="15" t="s">
        <v>24</v>
      </c>
      <c r="B71" s="16" t="s">
        <v>60</v>
      </c>
      <c r="C71" s="16" t="s">
        <v>782</v>
      </c>
      <c r="D71" s="15" t="s">
        <v>42</v>
      </c>
      <c r="E71" s="16" t="s">
        <v>701</v>
      </c>
      <c r="F71" s="15" t="n">
        <v>1</v>
      </c>
      <c r="G71" s="16" t="s">
        <v>17</v>
      </c>
      <c r="H71" s="15" t="s">
        <v>621</v>
      </c>
      <c r="I71" s="16" t="s">
        <v>783</v>
      </c>
      <c r="J71" s="16" t="s">
        <v>784</v>
      </c>
    </row>
    <row r="72" customFormat="false" ht="35.05" hidden="false" customHeight="false" outlineLevel="0" collapsed="false">
      <c r="A72" s="15" t="s">
        <v>24</v>
      </c>
      <c r="B72" s="16" t="s">
        <v>60</v>
      </c>
      <c r="C72" s="16" t="s">
        <v>782</v>
      </c>
      <c r="D72" s="15" t="s">
        <v>63</v>
      </c>
      <c r="E72" s="16" t="s">
        <v>725</v>
      </c>
      <c r="F72" s="15" t="n">
        <v>23</v>
      </c>
      <c r="G72" s="16" t="s">
        <v>785</v>
      </c>
      <c r="H72" s="15" t="s">
        <v>654</v>
      </c>
      <c r="I72" s="16" t="s">
        <v>786</v>
      </c>
      <c r="J72" s="16" t="s">
        <v>787</v>
      </c>
    </row>
    <row r="73" customFormat="false" ht="35.05" hidden="false" customHeight="false" outlineLevel="0" collapsed="false">
      <c r="A73" s="15" t="s">
        <v>24</v>
      </c>
      <c r="B73" s="16" t="s">
        <v>60</v>
      </c>
      <c r="C73" s="16" t="s">
        <v>788</v>
      </c>
      <c r="D73" s="15" t="s">
        <v>63</v>
      </c>
      <c r="E73" s="16" t="s">
        <v>725</v>
      </c>
      <c r="F73" s="15" t="n">
        <v>2</v>
      </c>
      <c r="G73" s="16" t="s">
        <v>17</v>
      </c>
      <c r="H73" s="15" t="s">
        <v>627</v>
      </c>
      <c r="I73" s="16" t="s">
        <v>789</v>
      </c>
      <c r="J73" s="16" t="s">
        <v>790</v>
      </c>
    </row>
    <row r="74" customFormat="false" ht="35.05" hidden="false" customHeight="false" outlineLevel="0" collapsed="false">
      <c r="A74" s="15" t="s">
        <v>24</v>
      </c>
      <c r="B74" s="16" t="s">
        <v>65</v>
      </c>
      <c r="C74" s="16" t="s">
        <v>619</v>
      </c>
      <c r="D74" s="15" t="s">
        <v>67</v>
      </c>
      <c r="E74" s="16" t="s">
        <v>791</v>
      </c>
      <c r="F74" s="15" t="n">
        <v>5</v>
      </c>
      <c r="G74" s="16" t="s">
        <v>17</v>
      </c>
      <c r="H74" s="15" t="s">
        <v>654</v>
      </c>
      <c r="I74" s="16" t="s">
        <v>792</v>
      </c>
      <c r="J74" s="16" t="s">
        <v>793</v>
      </c>
    </row>
    <row r="75" customFormat="false" ht="35.05" hidden="false" customHeight="false" outlineLevel="0" collapsed="false">
      <c r="A75" s="15" t="s">
        <v>24</v>
      </c>
      <c r="B75" s="16" t="s">
        <v>68</v>
      </c>
      <c r="C75" s="16" t="s">
        <v>619</v>
      </c>
      <c r="D75" s="15" t="s">
        <v>59</v>
      </c>
      <c r="E75" s="16" t="s">
        <v>662</v>
      </c>
      <c r="F75" s="15" t="n">
        <v>2</v>
      </c>
      <c r="G75" s="16" t="s">
        <v>17</v>
      </c>
      <c r="H75" s="15" t="s">
        <v>627</v>
      </c>
      <c r="I75" s="16" t="s">
        <v>794</v>
      </c>
      <c r="J75" s="16" t="s">
        <v>795</v>
      </c>
    </row>
    <row r="76" customFormat="false" ht="35.05" hidden="false" customHeight="false" outlineLevel="0" collapsed="false">
      <c r="A76" s="15" t="s">
        <v>24</v>
      </c>
      <c r="B76" s="16" t="s">
        <v>68</v>
      </c>
      <c r="C76" s="16" t="s">
        <v>70</v>
      </c>
      <c r="D76" s="15" t="s">
        <v>59</v>
      </c>
      <c r="E76" s="16" t="s">
        <v>662</v>
      </c>
      <c r="F76" s="15" t="n">
        <v>2</v>
      </c>
      <c r="G76" s="16" t="s">
        <v>17</v>
      </c>
      <c r="H76" s="15" t="s">
        <v>627</v>
      </c>
      <c r="I76" s="16" t="s">
        <v>796</v>
      </c>
      <c r="J76" s="16" t="s">
        <v>797</v>
      </c>
    </row>
    <row r="77" customFormat="false" ht="35.05" hidden="false" customHeight="false" outlineLevel="0" collapsed="false">
      <c r="A77" s="15" t="s">
        <v>24</v>
      </c>
      <c r="B77" s="16" t="s">
        <v>71</v>
      </c>
      <c r="C77" s="16" t="s">
        <v>619</v>
      </c>
      <c r="D77" s="15" t="s">
        <v>76</v>
      </c>
      <c r="E77" s="16" t="s">
        <v>660</v>
      </c>
      <c r="F77" s="15" t="n">
        <v>2</v>
      </c>
      <c r="G77" s="16" t="s">
        <v>17</v>
      </c>
      <c r="H77" s="15" t="s">
        <v>627</v>
      </c>
      <c r="I77" s="16" t="s">
        <v>798</v>
      </c>
      <c r="J77" s="16" t="s">
        <v>799</v>
      </c>
    </row>
    <row r="78" customFormat="false" ht="35.05" hidden="false" customHeight="false" outlineLevel="0" collapsed="false">
      <c r="A78" s="15" t="s">
        <v>24</v>
      </c>
      <c r="B78" s="16" t="s">
        <v>71</v>
      </c>
      <c r="C78" s="16" t="s">
        <v>619</v>
      </c>
      <c r="D78" s="15" t="s">
        <v>170</v>
      </c>
      <c r="E78" s="16" t="s">
        <v>800</v>
      </c>
      <c r="F78" s="15" t="n">
        <v>1</v>
      </c>
      <c r="G78" s="16" t="s">
        <v>17</v>
      </c>
      <c r="H78" s="15" t="s">
        <v>621</v>
      </c>
      <c r="I78" s="16" t="s">
        <v>801</v>
      </c>
      <c r="J78" s="16" t="s">
        <v>802</v>
      </c>
    </row>
    <row r="79" customFormat="false" ht="35.05" hidden="false" customHeight="false" outlineLevel="0" collapsed="false">
      <c r="A79" s="15" t="s">
        <v>24</v>
      </c>
      <c r="B79" s="16" t="s">
        <v>74</v>
      </c>
      <c r="C79" s="16" t="s">
        <v>619</v>
      </c>
      <c r="D79" s="15" t="s">
        <v>76</v>
      </c>
      <c r="E79" s="16" t="s">
        <v>660</v>
      </c>
      <c r="F79" s="15" t="n">
        <v>1</v>
      </c>
      <c r="G79" s="16" t="s">
        <v>17</v>
      </c>
      <c r="H79" s="15" t="s">
        <v>621</v>
      </c>
      <c r="I79" s="16" t="s">
        <v>803</v>
      </c>
      <c r="J79" s="16" t="s">
        <v>804</v>
      </c>
    </row>
    <row r="80" customFormat="false" ht="35.05" hidden="false" customHeight="false" outlineLevel="0" collapsed="false">
      <c r="A80" s="15" t="s">
        <v>24</v>
      </c>
      <c r="B80" s="16" t="s">
        <v>77</v>
      </c>
      <c r="C80" s="16" t="s">
        <v>619</v>
      </c>
      <c r="D80" s="15" t="s">
        <v>76</v>
      </c>
      <c r="E80" s="16" t="s">
        <v>660</v>
      </c>
      <c r="F80" s="15" t="n">
        <v>3</v>
      </c>
      <c r="G80" s="16" t="s">
        <v>17</v>
      </c>
      <c r="H80" s="15" t="s">
        <v>627</v>
      </c>
      <c r="I80" s="16" t="s">
        <v>805</v>
      </c>
      <c r="J80" s="16" t="s">
        <v>806</v>
      </c>
    </row>
    <row r="81" customFormat="false" ht="35.05" hidden="false" customHeight="false" outlineLevel="0" collapsed="false">
      <c r="A81" s="15" t="s">
        <v>24</v>
      </c>
      <c r="B81" s="16" t="s">
        <v>79</v>
      </c>
      <c r="C81" s="16" t="s">
        <v>619</v>
      </c>
      <c r="D81" s="15" t="s">
        <v>76</v>
      </c>
      <c r="E81" s="16" t="s">
        <v>660</v>
      </c>
      <c r="F81" s="15" t="n">
        <v>1</v>
      </c>
      <c r="G81" s="16" t="s">
        <v>17</v>
      </c>
      <c r="H81" s="15" t="s">
        <v>621</v>
      </c>
      <c r="I81" s="16" t="s">
        <v>807</v>
      </c>
      <c r="J81" s="16" t="s">
        <v>808</v>
      </c>
    </row>
    <row r="82" customFormat="false" ht="35.05" hidden="false" customHeight="false" outlineLevel="0" collapsed="false">
      <c r="A82" s="15" t="s">
        <v>24</v>
      </c>
      <c r="B82" s="16" t="s">
        <v>81</v>
      </c>
      <c r="C82" s="16" t="s">
        <v>619</v>
      </c>
      <c r="D82" s="15" t="s">
        <v>84</v>
      </c>
      <c r="E82" s="16" t="s">
        <v>657</v>
      </c>
      <c r="F82" s="15" t="n">
        <v>3</v>
      </c>
      <c r="G82" s="16" t="s">
        <v>809</v>
      </c>
      <c r="H82" s="15" t="s">
        <v>654</v>
      </c>
      <c r="I82" s="16" t="s">
        <v>810</v>
      </c>
      <c r="J82" s="16" t="s">
        <v>811</v>
      </c>
    </row>
    <row r="83" customFormat="false" ht="35.05" hidden="false" customHeight="false" outlineLevel="0" collapsed="false">
      <c r="A83" s="15" t="s">
        <v>24</v>
      </c>
      <c r="B83" s="16" t="s">
        <v>81</v>
      </c>
      <c r="C83" s="16" t="s">
        <v>619</v>
      </c>
      <c r="D83" s="15" t="s">
        <v>76</v>
      </c>
      <c r="E83" s="16" t="s">
        <v>660</v>
      </c>
      <c r="F83" s="15" t="n">
        <v>2</v>
      </c>
      <c r="G83" s="16" t="s">
        <v>17</v>
      </c>
      <c r="H83" s="15" t="s">
        <v>627</v>
      </c>
      <c r="I83" s="16" t="s">
        <v>812</v>
      </c>
      <c r="J83" s="16" t="s">
        <v>813</v>
      </c>
    </row>
    <row r="84" customFormat="false" ht="35.05" hidden="false" customHeight="false" outlineLevel="0" collapsed="false">
      <c r="A84" s="15" t="s">
        <v>24</v>
      </c>
      <c r="B84" s="16" t="s">
        <v>81</v>
      </c>
      <c r="C84" s="16" t="s">
        <v>619</v>
      </c>
      <c r="D84" s="15" t="s">
        <v>568</v>
      </c>
      <c r="E84" s="16" t="s">
        <v>814</v>
      </c>
      <c r="F84" s="15" t="n">
        <v>2</v>
      </c>
      <c r="G84" s="16" t="s">
        <v>17</v>
      </c>
      <c r="H84" s="15" t="s">
        <v>627</v>
      </c>
      <c r="I84" s="16" t="s">
        <v>812</v>
      </c>
      <c r="J84" s="16" t="s">
        <v>815</v>
      </c>
    </row>
    <row r="85" customFormat="false" ht="35.05" hidden="false" customHeight="false" outlineLevel="0" collapsed="false">
      <c r="A85" s="15" t="s">
        <v>24</v>
      </c>
      <c r="B85" s="16" t="s">
        <v>81</v>
      </c>
      <c r="C85" s="16" t="s">
        <v>619</v>
      </c>
      <c r="D85" s="15" t="s">
        <v>320</v>
      </c>
      <c r="E85" s="16" t="s">
        <v>816</v>
      </c>
      <c r="F85" s="15" t="n">
        <v>1</v>
      </c>
      <c r="G85" s="16" t="s">
        <v>17</v>
      </c>
      <c r="H85" s="15" t="s">
        <v>621</v>
      </c>
      <c r="I85" s="16" t="s">
        <v>810</v>
      </c>
      <c r="J85" s="16" t="s">
        <v>817</v>
      </c>
    </row>
    <row r="86" customFormat="false" ht="35.05" hidden="false" customHeight="false" outlineLevel="0" collapsed="false">
      <c r="A86" s="15" t="s">
        <v>24</v>
      </c>
      <c r="B86" s="16" t="s">
        <v>81</v>
      </c>
      <c r="C86" s="16" t="s">
        <v>619</v>
      </c>
      <c r="D86" s="15" t="s">
        <v>266</v>
      </c>
      <c r="E86" s="16" t="s">
        <v>685</v>
      </c>
      <c r="F86" s="15" t="n">
        <v>1</v>
      </c>
      <c r="G86" s="16" t="s">
        <v>17</v>
      </c>
      <c r="H86" s="15" t="s">
        <v>621</v>
      </c>
      <c r="I86" s="16" t="s">
        <v>810</v>
      </c>
      <c r="J86" s="16" t="s">
        <v>818</v>
      </c>
    </row>
    <row r="87" customFormat="false" ht="35.05" hidden="false" customHeight="false" outlineLevel="0" collapsed="false">
      <c r="A87" s="15" t="s">
        <v>24</v>
      </c>
      <c r="B87" s="16" t="s">
        <v>81</v>
      </c>
      <c r="C87" s="16" t="s">
        <v>619</v>
      </c>
      <c r="D87" s="15" t="s">
        <v>227</v>
      </c>
      <c r="E87" s="16" t="s">
        <v>819</v>
      </c>
      <c r="F87" s="15" t="n">
        <v>1</v>
      </c>
      <c r="G87" s="16" t="s">
        <v>17</v>
      </c>
      <c r="H87" s="15" t="s">
        <v>621</v>
      </c>
      <c r="I87" s="16" t="s">
        <v>810</v>
      </c>
      <c r="J87" s="16" t="s">
        <v>820</v>
      </c>
    </row>
    <row r="88" customFormat="false" ht="35.05" hidden="false" customHeight="false" outlineLevel="0" collapsed="false">
      <c r="A88" s="15" t="s">
        <v>24</v>
      </c>
      <c r="B88" s="16" t="s">
        <v>81</v>
      </c>
      <c r="C88" s="16" t="s">
        <v>619</v>
      </c>
      <c r="D88" s="15" t="s">
        <v>268</v>
      </c>
      <c r="E88" s="16" t="s">
        <v>821</v>
      </c>
      <c r="F88" s="15" t="n">
        <v>2</v>
      </c>
      <c r="G88" s="16" t="s">
        <v>17</v>
      </c>
      <c r="H88" s="15" t="s">
        <v>627</v>
      </c>
      <c r="I88" s="16" t="s">
        <v>810</v>
      </c>
      <c r="J88" s="16" t="s">
        <v>822</v>
      </c>
    </row>
    <row r="89" customFormat="false" ht="35.05" hidden="false" customHeight="false" outlineLevel="0" collapsed="false">
      <c r="A89" s="15" t="s">
        <v>24</v>
      </c>
      <c r="B89" s="16" t="s">
        <v>81</v>
      </c>
      <c r="C89" s="16" t="s">
        <v>619</v>
      </c>
      <c r="D89" s="15" t="s">
        <v>166</v>
      </c>
      <c r="E89" s="16" t="s">
        <v>823</v>
      </c>
      <c r="F89" s="15" t="n">
        <v>3</v>
      </c>
      <c r="G89" s="16" t="s">
        <v>17</v>
      </c>
      <c r="H89" s="15" t="s">
        <v>627</v>
      </c>
      <c r="I89" s="16" t="s">
        <v>824</v>
      </c>
      <c r="J89" s="16" t="s">
        <v>825</v>
      </c>
    </row>
    <row r="90" customFormat="false" ht="35.05" hidden="false" customHeight="false" outlineLevel="0" collapsed="false">
      <c r="A90" s="15" t="s">
        <v>24</v>
      </c>
      <c r="B90" s="16" t="s">
        <v>81</v>
      </c>
      <c r="C90" s="16" t="s">
        <v>826</v>
      </c>
      <c r="D90" s="15" t="s">
        <v>84</v>
      </c>
      <c r="E90" s="16" t="s">
        <v>657</v>
      </c>
      <c r="F90" s="15" t="n">
        <v>3</v>
      </c>
      <c r="G90" s="16" t="s">
        <v>17</v>
      </c>
      <c r="H90" s="15" t="s">
        <v>627</v>
      </c>
      <c r="I90" s="16" t="s">
        <v>827</v>
      </c>
      <c r="J90" s="16" t="s">
        <v>828</v>
      </c>
    </row>
    <row r="91" customFormat="false" ht="35.05" hidden="false" customHeight="false" outlineLevel="0" collapsed="false">
      <c r="A91" s="15" t="s">
        <v>24</v>
      </c>
      <c r="B91" s="16" t="s">
        <v>81</v>
      </c>
      <c r="C91" s="16" t="s">
        <v>826</v>
      </c>
      <c r="D91" s="15" t="s">
        <v>76</v>
      </c>
      <c r="E91" s="16" t="s">
        <v>660</v>
      </c>
      <c r="F91" s="15" t="n">
        <v>4</v>
      </c>
      <c r="G91" s="16" t="s">
        <v>17</v>
      </c>
      <c r="H91" s="15" t="s">
        <v>627</v>
      </c>
      <c r="I91" s="16" t="s">
        <v>829</v>
      </c>
      <c r="J91" s="16" t="s">
        <v>830</v>
      </c>
    </row>
    <row r="92" customFormat="false" ht="35.05" hidden="false" customHeight="false" outlineLevel="0" collapsed="false">
      <c r="A92" s="15" t="s">
        <v>24</v>
      </c>
      <c r="B92" s="16" t="s">
        <v>81</v>
      </c>
      <c r="C92" s="16" t="s">
        <v>826</v>
      </c>
      <c r="D92" s="15" t="s">
        <v>508</v>
      </c>
      <c r="E92" s="16" t="s">
        <v>831</v>
      </c>
      <c r="F92" s="15" t="n">
        <v>1</v>
      </c>
      <c r="G92" s="16" t="s">
        <v>17</v>
      </c>
      <c r="H92" s="15" t="s">
        <v>621</v>
      </c>
      <c r="I92" s="16" t="s">
        <v>827</v>
      </c>
      <c r="J92" s="16" t="s">
        <v>832</v>
      </c>
    </row>
    <row r="93" customFormat="false" ht="35.05" hidden="false" customHeight="false" outlineLevel="0" collapsed="false">
      <c r="A93" s="15" t="s">
        <v>24</v>
      </c>
      <c r="B93" s="16" t="s">
        <v>81</v>
      </c>
      <c r="C93" s="16" t="s">
        <v>826</v>
      </c>
      <c r="D93" s="15" t="s">
        <v>587</v>
      </c>
      <c r="E93" s="16" t="s">
        <v>833</v>
      </c>
      <c r="F93" s="15" t="n">
        <v>1</v>
      </c>
      <c r="G93" s="16" t="s">
        <v>17</v>
      </c>
      <c r="H93" s="15" t="s">
        <v>621</v>
      </c>
      <c r="I93" s="16" t="s">
        <v>827</v>
      </c>
      <c r="J93" s="16" t="s">
        <v>834</v>
      </c>
    </row>
    <row r="94" customFormat="false" ht="35.05" hidden="false" customHeight="false" outlineLevel="0" collapsed="false">
      <c r="A94" s="15" t="s">
        <v>24</v>
      </c>
      <c r="B94" s="16" t="s">
        <v>81</v>
      </c>
      <c r="C94" s="16" t="s">
        <v>835</v>
      </c>
      <c r="D94" s="15" t="s">
        <v>76</v>
      </c>
      <c r="E94" s="16" t="s">
        <v>660</v>
      </c>
      <c r="F94" s="15" t="n">
        <v>3</v>
      </c>
      <c r="G94" s="16" t="s">
        <v>17</v>
      </c>
      <c r="H94" s="15" t="s">
        <v>627</v>
      </c>
      <c r="I94" s="16" t="s">
        <v>836</v>
      </c>
      <c r="J94" s="16" t="s">
        <v>837</v>
      </c>
    </row>
    <row r="95" customFormat="false" ht="35.05" hidden="false" customHeight="false" outlineLevel="0" collapsed="false">
      <c r="A95" s="15" t="s">
        <v>24</v>
      </c>
      <c r="B95" s="16" t="s">
        <v>81</v>
      </c>
      <c r="C95" s="16" t="s">
        <v>835</v>
      </c>
      <c r="D95" s="15" t="s">
        <v>170</v>
      </c>
      <c r="E95" s="16" t="s">
        <v>800</v>
      </c>
      <c r="F95" s="15" t="n">
        <v>1</v>
      </c>
      <c r="G95" s="16" t="s">
        <v>17</v>
      </c>
      <c r="H95" s="15" t="s">
        <v>621</v>
      </c>
      <c r="I95" s="16" t="s">
        <v>838</v>
      </c>
      <c r="J95" s="16" t="s">
        <v>839</v>
      </c>
    </row>
    <row r="96" customFormat="false" ht="35.05" hidden="false" customHeight="false" outlineLevel="0" collapsed="false">
      <c r="A96" s="15" t="s">
        <v>24</v>
      </c>
      <c r="B96" s="16" t="s">
        <v>87</v>
      </c>
      <c r="C96" s="16" t="s">
        <v>619</v>
      </c>
      <c r="D96" s="15" t="s">
        <v>398</v>
      </c>
      <c r="E96" s="16" t="s">
        <v>641</v>
      </c>
      <c r="F96" s="15" t="n">
        <v>1</v>
      </c>
      <c r="G96" s="16" t="s">
        <v>17</v>
      </c>
      <c r="H96" s="15" t="s">
        <v>621</v>
      </c>
      <c r="I96" s="16" t="s">
        <v>840</v>
      </c>
      <c r="J96" s="16" t="s">
        <v>841</v>
      </c>
    </row>
    <row r="97" customFormat="false" ht="35.05" hidden="false" customHeight="false" outlineLevel="0" collapsed="false">
      <c r="A97" s="15" t="s">
        <v>24</v>
      </c>
      <c r="B97" s="16" t="s">
        <v>87</v>
      </c>
      <c r="C97" s="16" t="s">
        <v>619</v>
      </c>
      <c r="D97" s="15" t="s">
        <v>220</v>
      </c>
      <c r="E97" s="16" t="s">
        <v>646</v>
      </c>
      <c r="F97" s="15" t="n">
        <v>2</v>
      </c>
      <c r="G97" s="16" t="s">
        <v>842</v>
      </c>
      <c r="H97" s="15" t="s">
        <v>654</v>
      </c>
      <c r="I97" s="16" t="s">
        <v>840</v>
      </c>
      <c r="J97" s="16" t="s">
        <v>843</v>
      </c>
    </row>
    <row r="98" customFormat="false" ht="35.05" hidden="false" customHeight="false" outlineLevel="0" collapsed="false">
      <c r="A98" s="15" t="s">
        <v>24</v>
      </c>
      <c r="B98" s="16" t="s">
        <v>87</v>
      </c>
      <c r="C98" s="16" t="s">
        <v>619</v>
      </c>
      <c r="D98" s="15" t="s">
        <v>28</v>
      </c>
      <c r="E98" s="16" t="s">
        <v>652</v>
      </c>
      <c r="F98" s="15" t="n">
        <v>1</v>
      </c>
      <c r="G98" s="16" t="s">
        <v>17</v>
      </c>
      <c r="H98" s="15" t="s">
        <v>621</v>
      </c>
      <c r="I98" s="16" t="s">
        <v>840</v>
      </c>
      <c r="J98" s="16" t="s">
        <v>844</v>
      </c>
    </row>
    <row r="99" customFormat="false" ht="35.05" hidden="false" customHeight="false" outlineLevel="0" collapsed="false">
      <c r="A99" s="15" t="s">
        <v>24</v>
      </c>
      <c r="B99" s="16" t="s">
        <v>87</v>
      </c>
      <c r="C99" s="16" t="s">
        <v>619</v>
      </c>
      <c r="D99" s="15" t="s">
        <v>84</v>
      </c>
      <c r="E99" s="16" t="s">
        <v>657</v>
      </c>
      <c r="F99" s="15" t="n">
        <v>9</v>
      </c>
      <c r="G99" s="16" t="s">
        <v>845</v>
      </c>
      <c r="H99" s="15" t="s">
        <v>654</v>
      </c>
      <c r="I99" s="16" t="s">
        <v>846</v>
      </c>
      <c r="J99" s="16" t="s">
        <v>847</v>
      </c>
    </row>
    <row r="100" customFormat="false" ht="35.05" hidden="false" customHeight="false" outlineLevel="0" collapsed="false">
      <c r="A100" s="15" t="s">
        <v>24</v>
      </c>
      <c r="B100" s="16" t="s">
        <v>87</v>
      </c>
      <c r="C100" s="16" t="s">
        <v>619</v>
      </c>
      <c r="D100" s="15" t="s">
        <v>320</v>
      </c>
      <c r="E100" s="16" t="s">
        <v>816</v>
      </c>
      <c r="F100" s="15" t="n">
        <v>1</v>
      </c>
      <c r="G100" s="16" t="s">
        <v>17</v>
      </c>
      <c r="H100" s="15" t="s">
        <v>621</v>
      </c>
      <c r="I100" s="16" t="s">
        <v>840</v>
      </c>
      <c r="J100" s="16" t="s">
        <v>848</v>
      </c>
    </row>
    <row r="101" customFormat="false" ht="35.05" hidden="false" customHeight="false" outlineLevel="0" collapsed="false">
      <c r="A101" s="15" t="s">
        <v>24</v>
      </c>
      <c r="B101" s="16" t="s">
        <v>87</v>
      </c>
      <c r="C101" s="16" t="s">
        <v>619</v>
      </c>
      <c r="D101" s="15" t="s">
        <v>473</v>
      </c>
      <c r="E101" s="16" t="s">
        <v>775</v>
      </c>
      <c r="F101" s="15" t="n">
        <v>1</v>
      </c>
      <c r="G101" s="16" t="s">
        <v>17</v>
      </c>
      <c r="H101" s="15" t="s">
        <v>621</v>
      </c>
      <c r="I101" s="16" t="s">
        <v>840</v>
      </c>
      <c r="J101" s="16" t="s">
        <v>849</v>
      </c>
    </row>
    <row r="102" customFormat="false" ht="35.05" hidden="false" customHeight="false" outlineLevel="0" collapsed="false">
      <c r="A102" s="15" t="s">
        <v>24</v>
      </c>
      <c r="B102" s="16" t="s">
        <v>87</v>
      </c>
      <c r="C102" s="16" t="s">
        <v>619</v>
      </c>
      <c r="D102" s="15" t="s">
        <v>508</v>
      </c>
      <c r="E102" s="16" t="s">
        <v>831</v>
      </c>
      <c r="F102" s="15" t="n">
        <v>1</v>
      </c>
      <c r="G102" s="16" t="s">
        <v>17</v>
      </c>
      <c r="H102" s="15" t="s">
        <v>621</v>
      </c>
      <c r="I102" s="16" t="s">
        <v>840</v>
      </c>
      <c r="J102" s="16" t="s">
        <v>850</v>
      </c>
    </row>
    <row r="103" customFormat="false" ht="35.05" hidden="false" customHeight="false" outlineLevel="0" collapsed="false">
      <c r="A103" s="15" t="s">
        <v>24</v>
      </c>
      <c r="B103" s="16" t="s">
        <v>87</v>
      </c>
      <c r="C103" s="16" t="s">
        <v>619</v>
      </c>
      <c r="D103" s="15" t="s">
        <v>155</v>
      </c>
      <c r="E103" s="16" t="s">
        <v>851</v>
      </c>
      <c r="F103" s="15" t="n">
        <v>1</v>
      </c>
      <c r="G103" s="16" t="s">
        <v>17</v>
      </c>
      <c r="H103" s="15" t="s">
        <v>621</v>
      </c>
      <c r="I103" s="16" t="s">
        <v>852</v>
      </c>
      <c r="J103" s="16" t="s">
        <v>853</v>
      </c>
    </row>
    <row r="104" customFormat="false" ht="35.05" hidden="false" customHeight="false" outlineLevel="0" collapsed="false">
      <c r="A104" s="15" t="s">
        <v>24</v>
      </c>
      <c r="B104" s="16" t="s">
        <v>87</v>
      </c>
      <c r="C104" s="16" t="s">
        <v>619</v>
      </c>
      <c r="D104" s="15" t="s">
        <v>599</v>
      </c>
      <c r="E104" s="16" t="s">
        <v>854</v>
      </c>
      <c r="F104" s="15" t="n">
        <v>1</v>
      </c>
      <c r="G104" s="16" t="s">
        <v>17</v>
      </c>
      <c r="H104" s="15" t="s">
        <v>621</v>
      </c>
      <c r="I104" s="16" t="s">
        <v>852</v>
      </c>
      <c r="J104" s="16" t="s">
        <v>855</v>
      </c>
    </row>
    <row r="105" customFormat="false" ht="35.05" hidden="false" customHeight="false" outlineLevel="0" collapsed="false">
      <c r="A105" s="15" t="s">
        <v>24</v>
      </c>
      <c r="B105" s="16" t="s">
        <v>87</v>
      </c>
      <c r="C105" s="16" t="s">
        <v>619</v>
      </c>
      <c r="D105" s="15" t="s">
        <v>170</v>
      </c>
      <c r="E105" s="16" t="s">
        <v>800</v>
      </c>
      <c r="F105" s="15" t="n">
        <v>9</v>
      </c>
      <c r="G105" s="16" t="s">
        <v>17</v>
      </c>
      <c r="H105" s="15" t="s">
        <v>654</v>
      </c>
      <c r="I105" s="16" t="s">
        <v>856</v>
      </c>
      <c r="J105" s="16" t="s">
        <v>857</v>
      </c>
    </row>
    <row r="106" customFormat="false" ht="35.05" hidden="false" customHeight="false" outlineLevel="0" collapsed="false">
      <c r="A106" s="15" t="s">
        <v>24</v>
      </c>
      <c r="B106" s="16" t="s">
        <v>87</v>
      </c>
      <c r="C106" s="16" t="s">
        <v>619</v>
      </c>
      <c r="D106" s="15" t="s">
        <v>179</v>
      </c>
      <c r="E106" s="16" t="s">
        <v>693</v>
      </c>
      <c r="F106" s="15" t="n">
        <v>3</v>
      </c>
      <c r="G106" s="16" t="s">
        <v>17</v>
      </c>
      <c r="H106" s="15" t="s">
        <v>627</v>
      </c>
      <c r="I106" s="16" t="s">
        <v>858</v>
      </c>
      <c r="J106" s="16" t="s">
        <v>859</v>
      </c>
    </row>
    <row r="107" customFormat="false" ht="35.05" hidden="false" customHeight="false" outlineLevel="0" collapsed="false">
      <c r="A107" s="15" t="s">
        <v>24</v>
      </c>
      <c r="B107" s="16" t="s">
        <v>91</v>
      </c>
      <c r="C107" s="16" t="s">
        <v>619</v>
      </c>
      <c r="D107" s="15" t="s">
        <v>28</v>
      </c>
      <c r="E107" s="16" t="s">
        <v>652</v>
      </c>
      <c r="F107" s="15" t="n">
        <v>2</v>
      </c>
      <c r="G107" s="16" t="s">
        <v>17</v>
      </c>
      <c r="H107" s="15" t="s">
        <v>627</v>
      </c>
      <c r="I107" s="16" t="s">
        <v>860</v>
      </c>
      <c r="J107" s="16" t="s">
        <v>861</v>
      </c>
    </row>
    <row r="108" customFormat="false" ht="35.05" hidden="false" customHeight="false" outlineLevel="0" collapsed="false">
      <c r="A108" s="15" t="s">
        <v>24</v>
      </c>
      <c r="B108" s="16" t="s">
        <v>91</v>
      </c>
      <c r="C108" s="16" t="s">
        <v>619</v>
      </c>
      <c r="D108" s="15" t="s">
        <v>84</v>
      </c>
      <c r="E108" s="16" t="s">
        <v>657</v>
      </c>
      <c r="F108" s="15" t="n">
        <v>4</v>
      </c>
      <c r="G108" s="16" t="s">
        <v>862</v>
      </c>
      <c r="H108" s="15" t="s">
        <v>654</v>
      </c>
      <c r="I108" s="16" t="s">
        <v>863</v>
      </c>
      <c r="J108" s="16" t="s">
        <v>864</v>
      </c>
    </row>
    <row r="109" customFormat="false" ht="35.05" hidden="false" customHeight="false" outlineLevel="0" collapsed="false">
      <c r="A109" s="15" t="s">
        <v>24</v>
      </c>
      <c r="B109" s="16" t="s">
        <v>91</v>
      </c>
      <c r="C109" s="16" t="s">
        <v>619</v>
      </c>
      <c r="D109" s="15" t="s">
        <v>179</v>
      </c>
      <c r="E109" s="16" t="s">
        <v>693</v>
      </c>
      <c r="F109" s="15" t="n">
        <v>2</v>
      </c>
      <c r="G109" s="16" t="s">
        <v>17</v>
      </c>
      <c r="H109" s="15" t="s">
        <v>627</v>
      </c>
      <c r="I109" s="16" t="s">
        <v>865</v>
      </c>
      <c r="J109" s="16" t="s">
        <v>866</v>
      </c>
    </row>
    <row r="110" customFormat="false" ht="35.05" hidden="false" customHeight="false" outlineLevel="0" collapsed="false">
      <c r="A110" s="15" t="s">
        <v>24</v>
      </c>
      <c r="B110" s="16" t="s">
        <v>94</v>
      </c>
      <c r="C110" s="16" t="s">
        <v>619</v>
      </c>
      <c r="D110" s="15" t="s">
        <v>84</v>
      </c>
      <c r="E110" s="16" t="s">
        <v>657</v>
      </c>
      <c r="F110" s="15" t="n">
        <v>9</v>
      </c>
      <c r="G110" s="16" t="s">
        <v>867</v>
      </c>
      <c r="H110" s="15" t="s">
        <v>654</v>
      </c>
      <c r="I110" s="16" t="s">
        <v>868</v>
      </c>
      <c r="J110" s="16" t="s">
        <v>869</v>
      </c>
    </row>
    <row r="111" customFormat="false" ht="35.05" hidden="false" customHeight="false" outlineLevel="0" collapsed="false">
      <c r="A111" s="15" t="s">
        <v>24</v>
      </c>
      <c r="B111" s="16" t="s">
        <v>94</v>
      </c>
      <c r="C111" s="16" t="s">
        <v>619</v>
      </c>
      <c r="D111" s="15" t="s">
        <v>38</v>
      </c>
      <c r="E111" s="16" t="s">
        <v>696</v>
      </c>
      <c r="F111" s="15" t="n">
        <v>2</v>
      </c>
      <c r="G111" s="16" t="s">
        <v>17</v>
      </c>
      <c r="H111" s="15" t="s">
        <v>627</v>
      </c>
      <c r="I111" s="16" t="s">
        <v>870</v>
      </c>
      <c r="J111" s="16" t="s">
        <v>871</v>
      </c>
    </row>
    <row r="112" customFormat="false" ht="35.05" hidden="false" customHeight="false" outlineLevel="0" collapsed="false">
      <c r="A112" s="15" t="s">
        <v>24</v>
      </c>
      <c r="B112" s="16" t="s">
        <v>97</v>
      </c>
      <c r="C112" s="16" t="s">
        <v>619</v>
      </c>
      <c r="D112" s="15" t="s">
        <v>398</v>
      </c>
      <c r="E112" s="16" t="s">
        <v>641</v>
      </c>
      <c r="F112" s="15" t="n">
        <v>2</v>
      </c>
      <c r="G112" s="16" t="s">
        <v>17</v>
      </c>
      <c r="H112" s="15" t="s">
        <v>627</v>
      </c>
      <c r="I112" s="16" t="s">
        <v>872</v>
      </c>
      <c r="J112" s="16" t="s">
        <v>873</v>
      </c>
    </row>
    <row r="113" customFormat="false" ht="35.05" hidden="false" customHeight="false" outlineLevel="0" collapsed="false">
      <c r="A113" s="15" t="s">
        <v>24</v>
      </c>
      <c r="B113" s="16" t="s">
        <v>97</v>
      </c>
      <c r="C113" s="16" t="s">
        <v>619</v>
      </c>
      <c r="D113" s="15" t="s">
        <v>220</v>
      </c>
      <c r="E113" s="16" t="s">
        <v>646</v>
      </c>
      <c r="F113" s="15" t="n">
        <v>1</v>
      </c>
      <c r="G113" s="16" t="s">
        <v>17</v>
      </c>
      <c r="H113" s="15" t="s">
        <v>621</v>
      </c>
      <c r="I113" s="16" t="s">
        <v>874</v>
      </c>
      <c r="J113" s="16" t="s">
        <v>875</v>
      </c>
    </row>
    <row r="114" customFormat="false" ht="35.05" hidden="false" customHeight="false" outlineLevel="0" collapsed="false">
      <c r="A114" s="15" t="s">
        <v>24</v>
      </c>
      <c r="B114" s="16" t="s">
        <v>97</v>
      </c>
      <c r="C114" s="16" t="s">
        <v>619</v>
      </c>
      <c r="D114" s="15" t="s">
        <v>28</v>
      </c>
      <c r="E114" s="16" t="s">
        <v>652</v>
      </c>
      <c r="F114" s="15" t="n">
        <v>4</v>
      </c>
      <c r="G114" s="16" t="s">
        <v>17</v>
      </c>
      <c r="H114" s="15" t="s">
        <v>627</v>
      </c>
      <c r="I114" s="16" t="s">
        <v>876</v>
      </c>
      <c r="J114" s="16" t="s">
        <v>877</v>
      </c>
    </row>
    <row r="115" customFormat="false" ht="35.05" hidden="false" customHeight="false" outlineLevel="0" collapsed="false">
      <c r="A115" s="15" t="s">
        <v>24</v>
      </c>
      <c r="B115" s="16" t="s">
        <v>97</v>
      </c>
      <c r="C115" s="16" t="s">
        <v>619</v>
      </c>
      <c r="D115" s="15" t="s">
        <v>100</v>
      </c>
      <c r="E115" s="16" t="s">
        <v>878</v>
      </c>
      <c r="F115" s="15" t="n">
        <v>27</v>
      </c>
      <c r="G115" s="16" t="s">
        <v>17</v>
      </c>
      <c r="H115" s="15" t="s">
        <v>654</v>
      </c>
      <c r="I115" s="16" t="s">
        <v>879</v>
      </c>
      <c r="J115" s="16" t="s">
        <v>880</v>
      </c>
    </row>
    <row r="116" customFormat="false" ht="35.05" hidden="false" customHeight="false" outlineLevel="0" collapsed="false">
      <c r="A116" s="15" t="s">
        <v>24</v>
      </c>
      <c r="B116" s="16" t="s">
        <v>97</v>
      </c>
      <c r="C116" s="16" t="s">
        <v>619</v>
      </c>
      <c r="D116" s="15" t="s">
        <v>568</v>
      </c>
      <c r="E116" s="16" t="s">
        <v>814</v>
      </c>
      <c r="F116" s="15" t="n">
        <v>2</v>
      </c>
      <c r="G116" s="16" t="s">
        <v>17</v>
      </c>
      <c r="H116" s="15" t="s">
        <v>627</v>
      </c>
      <c r="I116" s="16" t="s">
        <v>881</v>
      </c>
      <c r="J116" s="16" t="s">
        <v>882</v>
      </c>
    </row>
    <row r="117" customFormat="false" ht="35.05" hidden="false" customHeight="false" outlineLevel="0" collapsed="false">
      <c r="A117" s="15" t="s">
        <v>24</v>
      </c>
      <c r="B117" s="16" t="s">
        <v>97</v>
      </c>
      <c r="C117" s="16" t="s">
        <v>619</v>
      </c>
      <c r="D117" s="15" t="s">
        <v>569</v>
      </c>
      <c r="E117" s="16" t="s">
        <v>883</v>
      </c>
      <c r="F117" s="15" t="n">
        <v>1</v>
      </c>
      <c r="G117" s="16" t="s">
        <v>17</v>
      </c>
      <c r="H117" s="15" t="s">
        <v>621</v>
      </c>
      <c r="I117" s="16" t="s">
        <v>881</v>
      </c>
      <c r="J117" s="16" t="s">
        <v>884</v>
      </c>
    </row>
    <row r="118" customFormat="false" ht="35.05" hidden="false" customHeight="false" outlineLevel="0" collapsed="false">
      <c r="A118" s="15" t="s">
        <v>24</v>
      </c>
      <c r="B118" s="16" t="s">
        <v>97</v>
      </c>
      <c r="C118" s="16" t="s">
        <v>619</v>
      </c>
      <c r="D118" s="15" t="s">
        <v>320</v>
      </c>
      <c r="E118" s="16" t="s">
        <v>816</v>
      </c>
      <c r="F118" s="15" t="n">
        <v>1</v>
      </c>
      <c r="G118" s="16" t="s">
        <v>17</v>
      </c>
      <c r="H118" s="15" t="s">
        <v>621</v>
      </c>
      <c r="I118" s="16" t="s">
        <v>874</v>
      </c>
      <c r="J118" s="16" t="s">
        <v>885</v>
      </c>
    </row>
    <row r="119" customFormat="false" ht="35.05" hidden="false" customHeight="false" outlineLevel="0" collapsed="false">
      <c r="A119" s="15" t="s">
        <v>24</v>
      </c>
      <c r="B119" s="16" t="s">
        <v>97</v>
      </c>
      <c r="C119" s="16" t="s">
        <v>619</v>
      </c>
      <c r="D119" s="15" t="s">
        <v>571</v>
      </c>
      <c r="E119" s="16" t="s">
        <v>637</v>
      </c>
      <c r="F119" s="15" t="n">
        <v>1</v>
      </c>
      <c r="G119" s="16" t="s">
        <v>17</v>
      </c>
      <c r="H119" s="15" t="s">
        <v>621</v>
      </c>
      <c r="I119" s="16" t="s">
        <v>886</v>
      </c>
      <c r="J119" s="16" t="s">
        <v>887</v>
      </c>
    </row>
    <row r="120" customFormat="false" ht="35.05" hidden="false" customHeight="false" outlineLevel="0" collapsed="false">
      <c r="A120" s="15" t="s">
        <v>24</v>
      </c>
      <c r="B120" s="16" t="s">
        <v>97</v>
      </c>
      <c r="C120" s="16" t="s">
        <v>619</v>
      </c>
      <c r="D120" s="15" t="s">
        <v>578</v>
      </c>
      <c r="E120" s="16" t="s">
        <v>666</v>
      </c>
      <c r="F120" s="15" t="n">
        <v>1</v>
      </c>
      <c r="G120" s="16" t="s">
        <v>17</v>
      </c>
      <c r="H120" s="15" t="s">
        <v>621</v>
      </c>
      <c r="I120" s="16" t="s">
        <v>874</v>
      </c>
      <c r="J120" s="16" t="s">
        <v>888</v>
      </c>
    </row>
    <row r="121" customFormat="false" ht="35.05" hidden="false" customHeight="false" outlineLevel="0" collapsed="false">
      <c r="A121" s="15" t="s">
        <v>24</v>
      </c>
      <c r="B121" s="16" t="s">
        <v>97</v>
      </c>
      <c r="C121" s="16" t="s">
        <v>101</v>
      </c>
      <c r="D121" s="15" t="s">
        <v>398</v>
      </c>
      <c r="E121" s="16" t="s">
        <v>641</v>
      </c>
      <c r="F121" s="15" t="n">
        <v>1</v>
      </c>
      <c r="G121" s="16" t="s">
        <v>17</v>
      </c>
      <c r="H121" s="15" t="s">
        <v>621</v>
      </c>
      <c r="I121" s="16" t="s">
        <v>889</v>
      </c>
      <c r="J121" s="16" t="s">
        <v>890</v>
      </c>
    </row>
    <row r="122" customFormat="false" ht="35.05" hidden="false" customHeight="false" outlineLevel="0" collapsed="false">
      <c r="A122" s="15" t="s">
        <v>24</v>
      </c>
      <c r="B122" s="16" t="s">
        <v>97</v>
      </c>
      <c r="C122" s="16" t="s">
        <v>101</v>
      </c>
      <c r="D122" s="15" t="s">
        <v>42</v>
      </c>
      <c r="E122" s="16" t="s">
        <v>701</v>
      </c>
      <c r="F122" s="15" t="n">
        <v>1</v>
      </c>
      <c r="G122" s="16" t="s">
        <v>17</v>
      </c>
      <c r="H122" s="15" t="s">
        <v>621</v>
      </c>
      <c r="I122" s="16" t="s">
        <v>889</v>
      </c>
      <c r="J122" s="16" t="s">
        <v>891</v>
      </c>
    </row>
    <row r="123" customFormat="false" ht="35.05" hidden="false" customHeight="false" outlineLevel="0" collapsed="false">
      <c r="A123" s="15" t="s">
        <v>24</v>
      </c>
      <c r="B123" s="16" t="s">
        <v>97</v>
      </c>
      <c r="C123" s="16" t="s">
        <v>101</v>
      </c>
      <c r="D123" s="15" t="s">
        <v>100</v>
      </c>
      <c r="E123" s="16" t="s">
        <v>878</v>
      </c>
      <c r="F123" s="15" t="n">
        <v>3</v>
      </c>
      <c r="G123" s="16" t="s">
        <v>17</v>
      </c>
      <c r="H123" s="15" t="s">
        <v>627</v>
      </c>
      <c r="I123" s="16" t="s">
        <v>892</v>
      </c>
      <c r="J123" s="16" t="s">
        <v>893</v>
      </c>
    </row>
    <row r="124" customFormat="false" ht="35.05" hidden="false" customHeight="false" outlineLevel="0" collapsed="false">
      <c r="A124" s="15" t="s">
        <v>24</v>
      </c>
      <c r="B124" s="16" t="s">
        <v>102</v>
      </c>
      <c r="C124" s="16" t="s">
        <v>619</v>
      </c>
      <c r="D124" s="15" t="s">
        <v>196</v>
      </c>
      <c r="E124" s="16" t="s">
        <v>624</v>
      </c>
      <c r="F124" s="15" t="n">
        <v>2</v>
      </c>
      <c r="G124" s="16" t="s">
        <v>17</v>
      </c>
      <c r="H124" s="15" t="s">
        <v>627</v>
      </c>
      <c r="I124" s="16" t="s">
        <v>894</v>
      </c>
      <c r="J124" s="16" t="s">
        <v>895</v>
      </c>
    </row>
    <row r="125" customFormat="false" ht="35.05" hidden="false" customHeight="false" outlineLevel="0" collapsed="false">
      <c r="A125" s="15" t="s">
        <v>24</v>
      </c>
      <c r="B125" s="16" t="s">
        <v>102</v>
      </c>
      <c r="C125" s="16" t="s">
        <v>619</v>
      </c>
      <c r="D125" s="15" t="s">
        <v>565</v>
      </c>
      <c r="E125" s="16" t="s">
        <v>896</v>
      </c>
      <c r="F125" s="15" t="n">
        <v>3</v>
      </c>
      <c r="G125" s="16" t="s">
        <v>17</v>
      </c>
      <c r="H125" s="15" t="s">
        <v>627</v>
      </c>
      <c r="I125" s="16" t="s">
        <v>897</v>
      </c>
      <c r="J125" s="16" t="s">
        <v>898</v>
      </c>
    </row>
    <row r="126" customFormat="false" ht="35.05" hidden="false" customHeight="false" outlineLevel="0" collapsed="false">
      <c r="A126" s="15" t="s">
        <v>24</v>
      </c>
      <c r="B126" s="16" t="s">
        <v>102</v>
      </c>
      <c r="C126" s="16" t="s">
        <v>619</v>
      </c>
      <c r="D126" s="15" t="s">
        <v>572</v>
      </c>
      <c r="E126" s="16" t="s">
        <v>899</v>
      </c>
      <c r="F126" s="15" t="n">
        <v>2</v>
      </c>
      <c r="G126" s="16" t="s">
        <v>17</v>
      </c>
      <c r="H126" s="15" t="s">
        <v>627</v>
      </c>
      <c r="I126" s="16" t="s">
        <v>900</v>
      </c>
      <c r="J126" s="16" t="s">
        <v>901</v>
      </c>
    </row>
    <row r="127" customFormat="false" ht="35.05" hidden="false" customHeight="false" outlineLevel="0" collapsed="false">
      <c r="A127" s="15" t="s">
        <v>24</v>
      </c>
      <c r="B127" s="16" t="s">
        <v>102</v>
      </c>
      <c r="C127" s="16" t="s">
        <v>619</v>
      </c>
      <c r="D127" s="15" t="s">
        <v>383</v>
      </c>
      <c r="E127" s="16" t="s">
        <v>626</v>
      </c>
      <c r="F127" s="15" t="n">
        <v>16</v>
      </c>
      <c r="G127" s="16" t="s">
        <v>17</v>
      </c>
      <c r="H127" s="15" t="s">
        <v>654</v>
      </c>
      <c r="I127" s="16" t="s">
        <v>902</v>
      </c>
      <c r="J127" s="16" t="s">
        <v>903</v>
      </c>
    </row>
    <row r="128" customFormat="false" ht="35.05" hidden="false" customHeight="false" outlineLevel="0" collapsed="false">
      <c r="A128" s="15" t="s">
        <v>24</v>
      </c>
      <c r="B128" s="16" t="s">
        <v>102</v>
      </c>
      <c r="C128" s="16" t="s">
        <v>619</v>
      </c>
      <c r="D128" s="15" t="s">
        <v>408</v>
      </c>
      <c r="E128" s="16" t="s">
        <v>904</v>
      </c>
      <c r="F128" s="15" t="n">
        <v>1</v>
      </c>
      <c r="G128" s="16" t="s">
        <v>17</v>
      </c>
      <c r="H128" s="15" t="s">
        <v>621</v>
      </c>
      <c r="I128" s="16" t="s">
        <v>905</v>
      </c>
      <c r="J128" s="16" t="s">
        <v>906</v>
      </c>
    </row>
    <row r="129" customFormat="false" ht="35.05" hidden="false" customHeight="false" outlineLevel="0" collapsed="false">
      <c r="A129" s="15" t="s">
        <v>24</v>
      </c>
      <c r="B129" s="16" t="s">
        <v>102</v>
      </c>
      <c r="C129" s="16" t="s">
        <v>619</v>
      </c>
      <c r="D129" s="15" t="s">
        <v>585</v>
      </c>
      <c r="E129" s="16" t="s">
        <v>907</v>
      </c>
      <c r="F129" s="15" t="n">
        <v>17</v>
      </c>
      <c r="G129" s="16" t="s">
        <v>17</v>
      </c>
      <c r="H129" s="15" t="s">
        <v>654</v>
      </c>
      <c r="I129" s="16" t="s">
        <v>902</v>
      </c>
      <c r="J129" s="16" t="s">
        <v>908</v>
      </c>
    </row>
    <row r="130" customFormat="false" ht="35.05" hidden="false" customHeight="false" outlineLevel="0" collapsed="false">
      <c r="A130" s="15" t="s">
        <v>24</v>
      </c>
      <c r="B130" s="16" t="s">
        <v>102</v>
      </c>
      <c r="C130" s="16" t="s">
        <v>619</v>
      </c>
      <c r="D130" s="15" t="s">
        <v>590</v>
      </c>
      <c r="E130" s="16" t="s">
        <v>909</v>
      </c>
      <c r="F130" s="15" t="n">
        <v>1</v>
      </c>
      <c r="G130" s="16" t="s">
        <v>17</v>
      </c>
      <c r="H130" s="15" t="s">
        <v>621</v>
      </c>
      <c r="I130" s="16" t="s">
        <v>902</v>
      </c>
      <c r="J130" s="16" t="s">
        <v>910</v>
      </c>
    </row>
    <row r="131" customFormat="false" ht="35.05" hidden="false" customHeight="false" outlineLevel="0" collapsed="false">
      <c r="A131" s="15" t="s">
        <v>24</v>
      </c>
      <c r="B131" s="16" t="s">
        <v>106</v>
      </c>
      <c r="C131" s="16" t="s">
        <v>619</v>
      </c>
      <c r="D131" s="15" t="s">
        <v>100</v>
      </c>
      <c r="E131" s="16" t="s">
        <v>878</v>
      </c>
      <c r="F131" s="15" t="n">
        <v>4</v>
      </c>
      <c r="G131" s="16" t="s">
        <v>17</v>
      </c>
      <c r="H131" s="15" t="s">
        <v>627</v>
      </c>
      <c r="I131" s="16" t="s">
        <v>911</v>
      </c>
      <c r="J131" s="16" t="s">
        <v>912</v>
      </c>
    </row>
    <row r="132" customFormat="false" ht="35.05" hidden="false" customHeight="false" outlineLevel="0" collapsed="false">
      <c r="A132" s="15" t="s">
        <v>24</v>
      </c>
      <c r="B132" s="16" t="s">
        <v>106</v>
      </c>
      <c r="C132" s="16" t="s">
        <v>619</v>
      </c>
      <c r="D132" s="15" t="s">
        <v>408</v>
      </c>
      <c r="E132" s="16" t="s">
        <v>904</v>
      </c>
      <c r="F132" s="15" t="n">
        <v>1</v>
      </c>
      <c r="G132" s="16" t="s">
        <v>17</v>
      </c>
      <c r="H132" s="15" t="s">
        <v>621</v>
      </c>
      <c r="I132" s="16" t="s">
        <v>913</v>
      </c>
      <c r="J132" s="16" t="s">
        <v>914</v>
      </c>
    </row>
    <row r="133" customFormat="false" ht="35.05" hidden="false" customHeight="false" outlineLevel="0" collapsed="false">
      <c r="A133" s="15" t="s">
        <v>24</v>
      </c>
      <c r="B133" s="16" t="s">
        <v>106</v>
      </c>
      <c r="C133" s="16" t="s">
        <v>619</v>
      </c>
      <c r="D133" s="15" t="s">
        <v>109</v>
      </c>
      <c r="E133" s="16" t="s">
        <v>742</v>
      </c>
      <c r="F133" s="15" t="n">
        <v>14</v>
      </c>
      <c r="G133" s="16" t="s">
        <v>17</v>
      </c>
      <c r="H133" s="15" t="s">
        <v>654</v>
      </c>
      <c r="I133" s="16" t="s">
        <v>915</v>
      </c>
      <c r="J133" s="16" t="s">
        <v>916</v>
      </c>
    </row>
    <row r="134" customFormat="false" ht="35.05" hidden="false" customHeight="false" outlineLevel="0" collapsed="false">
      <c r="A134" s="15" t="s">
        <v>24</v>
      </c>
      <c r="B134" s="16" t="s">
        <v>110</v>
      </c>
      <c r="C134" s="16" t="s">
        <v>619</v>
      </c>
      <c r="D134" s="15" t="s">
        <v>562</v>
      </c>
      <c r="E134" s="16" t="s">
        <v>716</v>
      </c>
      <c r="F134" s="15" t="n">
        <v>2</v>
      </c>
      <c r="G134" s="16" t="s">
        <v>17</v>
      </c>
      <c r="H134" s="15" t="s">
        <v>627</v>
      </c>
      <c r="I134" s="16" t="s">
        <v>917</v>
      </c>
      <c r="J134" s="16" t="s">
        <v>918</v>
      </c>
    </row>
    <row r="135" customFormat="false" ht="35.05" hidden="false" customHeight="false" outlineLevel="0" collapsed="false">
      <c r="A135" s="15" t="s">
        <v>24</v>
      </c>
      <c r="B135" s="16" t="s">
        <v>110</v>
      </c>
      <c r="C135" s="16" t="s">
        <v>619</v>
      </c>
      <c r="D135" s="15" t="s">
        <v>113</v>
      </c>
      <c r="E135" s="16" t="s">
        <v>919</v>
      </c>
      <c r="F135" s="15" t="n">
        <v>15</v>
      </c>
      <c r="G135" s="16" t="s">
        <v>920</v>
      </c>
      <c r="H135" s="15" t="s">
        <v>654</v>
      </c>
      <c r="I135" s="16" t="s">
        <v>921</v>
      </c>
      <c r="J135" s="16" t="s">
        <v>922</v>
      </c>
    </row>
    <row r="136" customFormat="false" ht="35.05" hidden="false" customHeight="false" outlineLevel="0" collapsed="false">
      <c r="A136" s="15" t="s">
        <v>24</v>
      </c>
      <c r="B136" s="16" t="s">
        <v>110</v>
      </c>
      <c r="C136" s="16" t="s">
        <v>619</v>
      </c>
      <c r="D136" s="15" t="s">
        <v>573</v>
      </c>
      <c r="E136" s="16" t="s">
        <v>923</v>
      </c>
      <c r="F136" s="15" t="n">
        <v>2</v>
      </c>
      <c r="G136" s="16" t="s">
        <v>17</v>
      </c>
      <c r="H136" s="15" t="s">
        <v>627</v>
      </c>
      <c r="I136" s="16" t="s">
        <v>924</v>
      </c>
      <c r="J136" s="16" t="s">
        <v>925</v>
      </c>
    </row>
    <row r="137" customFormat="false" ht="35.05" hidden="false" customHeight="false" outlineLevel="0" collapsed="false">
      <c r="A137" s="15" t="s">
        <v>24</v>
      </c>
      <c r="B137" s="16" t="s">
        <v>110</v>
      </c>
      <c r="C137" s="16" t="s">
        <v>619</v>
      </c>
      <c r="D137" s="15" t="s">
        <v>451</v>
      </c>
      <c r="E137" s="16" t="s">
        <v>672</v>
      </c>
      <c r="F137" s="15" t="n">
        <v>2</v>
      </c>
      <c r="G137" s="16" t="s">
        <v>17</v>
      </c>
      <c r="H137" s="15" t="s">
        <v>627</v>
      </c>
      <c r="I137" s="16" t="s">
        <v>924</v>
      </c>
      <c r="J137" s="16" t="s">
        <v>925</v>
      </c>
    </row>
    <row r="138" customFormat="false" ht="35.05" hidden="false" customHeight="false" outlineLevel="0" collapsed="false">
      <c r="A138" s="15" t="s">
        <v>24</v>
      </c>
      <c r="B138" s="16" t="s">
        <v>114</v>
      </c>
      <c r="C138" s="16" t="s">
        <v>619</v>
      </c>
      <c r="D138" s="15" t="s">
        <v>113</v>
      </c>
      <c r="E138" s="16" t="s">
        <v>919</v>
      </c>
      <c r="F138" s="15" t="n">
        <v>5</v>
      </c>
      <c r="G138" s="16" t="s">
        <v>17</v>
      </c>
      <c r="H138" s="15" t="s">
        <v>654</v>
      </c>
      <c r="I138" s="16" t="s">
        <v>926</v>
      </c>
      <c r="J138" s="16" t="s">
        <v>927</v>
      </c>
    </row>
    <row r="139" customFormat="false" ht="35.05" hidden="false" customHeight="false" outlineLevel="0" collapsed="false">
      <c r="A139" s="15" t="s">
        <v>116</v>
      </c>
      <c r="B139" s="16" t="s">
        <v>117</v>
      </c>
      <c r="C139" s="16" t="s">
        <v>619</v>
      </c>
      <c r="D139" s="15" t="s">
        <v>48</v>
      </c>
      <c r="E139" s="16" t="s">
        <v>751</v>
      </c>
      <c r="F139" s="15" t="n">
        <v>4</v>
      </c>
      <c r="G139" s="16" t="s">
        <v>17</v>
      </c>
      <c r="H139" s="15" t="s">
        <v>627</v>
      </c>
      <c r="I139" s="16" t="s">
        <v>928</v>
      </c>
      <c r="J139" s="16" t="s">
        <v>929</v>
      </c>
    </row>
    <row r="140" customFormat="false" ht="35.05" hidden="false" customHeight="false" outlineLevel="0" collapsed="false">
      <c r="A140" s="15" t="s">
        <v>116</v>
      </c>
      <c r="B140" s="16" t="s">
        <v>119</v>
      </c>
      <c r="C140" s="16" t="s">
        <v>619</v>
      </c>
      <c r="D140" s="15" t="s">
        <v>76</v>
      </c>
      <c r="E140" s="16" t="s">
        <v>660</v>
      </c>
      <c r="F140" s="15" t="n">
        <v>2</v>
      </c>
      <c r="G140" s="16" t="s">
        <v>17</v>
      </c>
      <c r="H140" s="15" t="s">
        <v>627</v>
      </c>
      <c r="I140" s="16" t="s">
        <v>930</v>
      </c>
      <c r="J140" s="16" t="s">
        <v>931</v>
      </c>
    </row>
    <row r="141" customFormat="false" ht="35.05" hidden="false" customHeight="false" outlineLevel="0" collapsed="false">
      <c r="A141" s="15" t="s">
        <v>116</v>
      </c>
      <c r="B141" s="16" t="s">
        <v>119</v>
      </c>
      <c r="C141" s="16" t="s">
        <v>619</v>
      </c>
      <c r="D141" s="15" t="s">
        <v>48</v>
      </c>
      <c r="E141" s="16" t="s">
        <v>751</v>
      </c>
      <c r="F141" s="15" t="n">
        <v>11</v>
      </c>
      <c r="G141" s="16" t="s">
        <v>932</v>
      </c>
      <c r="H141" s="15" t="s">
        <v>654</v>
      </c>
      <c r="I141" s="16" t="s">
        <v>933</v>
      </c>
      <c r="J141" s="16" t="s">
        <v>934</v>
      </c>
    </row>
    <row r="142" customFormat="false" ht="35.05" hidden="false" customHeight="false" outlineLevel="0" collapsed="false">
      <c r="A142" s="15" t="s">
        <v>116</v>
      </c>
      <c r="B142" s="16" t="s">
        <v>122</v>
      </c>
      <c r="C142" s="16" t="s">
        <v>619</v>
      </c>
      <c r="D142" s="15" t="s">
        <v>76</v>
      </c>
      <c r="E142" s="16" t="s">
        <v>660</v>
      </c>
      <c r="F142" s="15" t="n">
        <v>1</v>
      </c>
      <c r="G142" s="16" t="s">
        <v>17</v>
      </c>
      <c r="H142" s="15" t="s">
        <v>621</v>
      </c>
      <c r="I142" s="16" t="s">
        <v>935</v>
      </c>
      <c r="J142" s="16" t="s">
        <v>936</v>
      </c>
    </row>
    <row r="143" customFormat="false" ht="35.05" hidden="false" customHeight="false" outlineLevel="0" collapsed="false">
      <c r="A143" s="15" t="s">
        <v>116</v>
      </c>
      <c r="B143" s="16" t="s">
        <v>122</v>
      </c>
      <c r="C143" s="16" t="s">
        <v>619</v>
      </c>
      <c r="D143" s="15" t="s">
        <v>48</v>
      </c>
      <c r="E143" s="16" t="s">
        <v>751</v>
      </c>
      <c r="F143" s="15" t="n">
        <v>3</v>
      </c>
      <c r="G143" s="16" t="s">
        <v>937</v>
      </c>
      <c r="H143" s="15" t="s">
        <v>654</v>
      </c>
      <c r="I143" s="16" t="s">
        <v>938</v>
      </c>
      <c r="J143" s="16" t="s">
        <v>939</v>
      </c>
    </row>
    <row r="144" customFormat="false" ht="35.05" hidden="false" customHeight="false" outlineLevel="0" collapsed="false">
      <c r="A144" s="15" t="s">
        <v>116</v>
      </c>
      <c r="B144" s="16" t="s">
        <v>122</v>
      </c>
      <c r="C144" s="16" t="s">
        <v>619</v>
      </c>
      <c r="D144" s="15" t="s">
        <v>568</v>
      </c>
      <c r="E144" s="16" t="s">
        <v>814</v>
      </c>
      <c r="F144" s="15" t="n">
        <v>2</v>
      </c>
      <c r="G144" s="16" t="s">
        <v>17</v>
      </c>
      <c r="H144" s="15" t="s">
        <v>627</v>
      </c>
      <c r="I144" s="16" t="s">
        <v>938</v>
      </c>
      <c r="J144" s="16" t="s">
        <v>940</v>
      </c>
    </row>
    <row r="145" customFormat="false" ht="35.05" hidden="false" customHeight="false" outlineLevel="0" collapsed="false">
      <c r="A145" s="15" t="s">
        <v>116</v>
      </c>
      <c r="B145" s="16" t="s">
        <v>122</v>
      </c>
      <c r="C145" s="16" t="s">
        <v>619</v>
      </c>
      <c r="D145" s="15" t="s">
        <v>594</v>
      </c>
      <c r="E145" s="16" t="s">
        <v>941</v>
      </c>
      <c r="F145" s="15" t="n">
        <v>1</v>
      </c>
      <c r="G145" s="16" t="s">
        <v>17</v>
      </c>
      <c r="H145" s="15" t="s">
        <v>621</v>
      </c>
      <c r="I145" s="16" t="s">
        <v>942</v>
      </c>
      <c r="J145" s="16" t="s">
        <v>943</v>
      </c>
    </row>
    <row r="146" customFormat="false" ht="35.05" hidden="false" customHeight="false" outlineLevel="0" collapsed="false">
      <c r="A146" s="15" t="s">
        <v>125</v>
      </c>
      <c r="B146" s="16" t="s">
        <v>126</v>
      </c>
      <c r="C146" s="16" t="s">
        <v>619</v>
      </c>
      <c r="D146" s="15" t="s">
        <v>398</v>
      </c>
      <c r="E146" s="16" t="s">
        <v>641</v>
      </c>
      <c r="F146" s="15" t="n">
        <v>1</v>
      </c>
      <c r="G146" s="16" t="s">
        <v>17</v>
      </c>
      <c r="H146" s="15" t="s">
        <v>621</v>
      </c>
      <c r="I146" s="16" t="s">
        <v>944</v>
      </c>
      <c r="J146" s="16" t="s">
        <v>945</v>
      </c>
    </row>
    <row r="147" customFormat="false" ht="35.05" hidden="false" customHeight="false" outlineLevel="0" collapsed="false">
      <c r="A147" s="15" t="s">
        <v>125</v>
      </c>
      <c r="B147" s="16" t="s">
        <v>126</v>
      </c>
      <c r="C147" s="16" t="s">
        <v>619</v>
      </c>
      <c r="D147" s="15" t="s">
        <v>48</v>
      </c>
      <c r="E147" s="16" t="s">
        <v>751</v>
      </c>
      <c r="F147" s="15" t="n">
        <v>11</v>
      </c>
      <c r="G147" s="16" t="s">
        <v>17</v>
      </c>
      <c r="H147" s="15" t="s">
        <v>654</v>
      </c>
      <c r="I147" s="16" t="s">
        <v>946</v>
      </c>
      <c r="J147" s="16" t="s">
        <v>947</v>
      </c>
    </row>
    <row r="148" customFormat="false" ht="35.05" hidden="false" customHeight="false" outlineLevel="0" collapsed="false">
      <c r="A148" s="15" t="s">
        <v>125</v>
      </c>
      <c r="B148" s="16" t="s">
        <v>126</v>
      </c>
      <c r="C148" s="16" t="s">
        <v>619</v>
      </c>
      <c r="D148" s="15" t="s">
        <v>568</v>
      </c>
      <c r="E148" s="16" t="s">
        <v>814</v>
      </c>
      <c r="F148" s="15" t="n">
        <v>1</v>
      </c>
      <c r="G148" s="16" t="s">
        <v>17</v>
      </c>
      <c r="H148" s="15" t="s">
        <v>621</v>
      </c>
      <c r="I148" s="16" t="s">
        <v>948</v>
      </c>
      <c r="J148" s="16" t="s">
        <v>949</v>
      </c>
    </row>
    <row r="149" customFormat="false" ht="35.05" hidden="false" customHeight="false" outlineLevel="0" collapsed="false">
      <c r="A149" s="15" t="s">
        <v>125</v>
      </c>
      <c r="B149" s="16" t="s">
        <v>126</v>
      </c>
      <c r="C149" s="16" t="s">
        <v>619</v>
      </c>
      <c r="D149" s="15" t="s">
        <v>575</v>
      </c>
      <c r="E149" s="16" t="s">
        <v>950</v>
      </c>
      <c r="F149" s="15" t="n">
        <v>2</v>
      </c>
      <c r="G149" s="16" t="s">
        <v>17</v>
      </c>
      <c r="H149" s="15" t="s">
        <v>627</v>
      </c>
      <c r="I149" s="16" t="s">
        <v>951</v>
      </c>
      <c r="J149" s="16" t="s">
        <v>952</v>
      </c>
    </row>
    <row r="150" customFormat="false" ht="35.05" hidden="false" customHeight="false" outlineLevel="0" collapsed="false">
      <c r="A150" s="15" t="s">
        <v>125</v>
      </c>
      <c r="B150" s="16" t="s">
        <v>126</v>
      </c>
      <c r="C150" s="16" t="s">
        <v>619</v>
      </c>
      <c r="D150" s="15" t="s">
        <v>576</v>
      </c>
      <c r="E150" s="16" t="s">
        <v>953</v>
      </c>
      <c r="F150" s="15" t="n">
        <v>1</v>
      </c>
      <c r="G150" s="16" t="s">
        <v>17</v>
      </c>
      <c r="H150" s="15" t="s">
        <v>621</v>
      </c>
      <c r="I150" s="16" t="s">
        <v>954</v>
      </c>
      <c r="J150" s="16" t="s">
        <v>952</v>
      </c>
    </row>
    <row r="151" customFormat="false" ht="35.05" hidden="false" customHeight="false" outlineLevel="0" collapsed="false">
      <c r="A151" s="15" t="s">
        <v>125</v>
      </c>
      <c r="B151" s="16" t="s">
        <v>126</v>
      </c>
      <c r="C151" s="16" t="s">
        <v>619</v>
      </c>
      <c r="D151" s="15" t="s">
        <v>148</v>
      </c>
      <c r="E151" s="16" t="s">
        <v>955</v>
      </c>
      <c r="F151" s="15" t="n">
        <v>16</v>
      </c>
      <c r="G151" s="16" t="s">
        <v>17</v>
      </c>
      <c r="H151" s="15" t="s">
        <v>654</v>
      </c>
      <c r="I151" s="16" t="s">
        <v>956</v>
      </c>
      <c r="J151" s="16" t="s">
        <v>957</v>
      </c>
    </row>
    <row r="152" customFormat="false" ht="35.05" hidden="false" customHeight="false" outlineLevel="0" collapsed="false">
      <c r="A152" s="15" t="s">
        <v>125</v>
      </c>
      <c r="B152" s="16" t="s">
        <v>126</v>
      </c>
      <c r="C152" s="16" t="s">
        <v>619</v>
      </c>
      <c r="D152" s="15" t="s">
        <v>600</v>
      </c>
      <c r="E152" s="16" t="s">
        <v>630</v>
      </c>
      <c r="F152" s="15" t="n">
        <v>3</v>
      </c>
      <c r="G152" s="16" t="s">
        <v>17</v>
      </c>
      <c r="H152" s="15" t="s">
        <v>627</v>
      </c>
      <c r="I152" s="16" t="s">
        <v>958</v>
      </c>
      <c r="J152" s="16" t="s">
        <v>959</v>
      </c>
    </row>
    <row r="153" customFormat="false" ht="35.05" hidden="false" customHeight="false" outlineLevel="0" collapsed="false">
      <c r="A153" s="15" t="s">
        <v>125</v>
      </c>
      <c r="B153" s="16" t="s">
        <v>126</v>
      </c>
      <c r="C153" s="16" t="s">
        <v>960</v>
      </c>
      <c r="D153" s="15" t="s">
        <v>567</v>
      </c>
      <c r="E153" s="16" t="s">
        <v>707</v>
      </c>
      <c r="F153" s="15" t="n">
        <v>1</v>
      </c>
      <c r="G153" s="16" t="s">
        <v>17</v>
      </c>
      <c r="H153" s="15" t="s">
        <v>621</v>
      </c>
      <c r="I153" s="16" t="s">
        <v>961</v>
      </c>
      <c r="J153" s="16" t="s">
        <v>962</v>
      </c>
    </row>
    <row r="154" customFormat="false" ht="35.05" hidden="false" customHeight="false" outlineLevel="0" collapsed="false">
      <c r="A154" s="15" t="s">
        <v>125</v>
      </c>
      <c r="B154" s="16" t="s">
        <v>126</v>
      </c>
      <c r="C154" s="16" t="s">
        <v>960</v>
      </c>
      <c r="D154" s="15" t="s">
        <v>148</v>
      </c>
      <c r="E154" s="16" t="s">
        <v>955</v>
      </c>
      <c r="F154" s="15" t="n">
        <v>2</v>
      </c>
      <c r="G154" s="16" t="s">
        <v>17</v>
      </c>
      <c r="H154" s="15" t="s">
        <v>627</v>
      </c>
      <c r="I154" s="16" t="s">
        <v>961</v>
      </c>
      <c r="J154" s="16" t="s">
        <v>963</v>
      </c>
    </row>
    <row r="155" customFormat="false" ht="35.05" hidden="false" customHeight="false" outlineLevel="0" collapsed="false">
      <c r="A155" s="15" t="s">
        <v>125</v>
      </c>
      <c r="B155" s="16" t="s">
        <v>126</v>
      </c>
      <c r="C155" s="16" t="s">
        <v>960</v>
      </c>
      <c r="D155" s="15" t="s">
        <v>600</v>
      </c>
      <c r="E155" s="16" t="s">
        <v>630</v>
      </c>
      <c r="F155" s="15" t="n">
        <v>16</v>
      </c>
      <c r="G155" s="16" t="s">
        <v>17</v>
      </c>
      <c r="H155" s="15" t="s">
        <v>654</v>
      </c>
      <c r="I155" s="16" t="s">
        <v>964</v>
      </c>
      <c r="J155" s="16" t="s">
        <v>965</v>
      </c>
    </row>
    <row r="156" customFormat="false" ht="35.05" hidden="false" customHeight="false" outlineLevel="0" collapsed="false">
      <c r="A156" s="15" t="s">
        <v>125</v>
      </c>
      <c r="B156" s="16" t="s">
        <v>126</v>
      </c>
      <c r="C156" s="16" t="s">
        <v>960</v>
      </c>
      <c r="D156" s="15" t="s">
        <v>603</v>
      </c>
      <c r="E156" s="16" t="s">
        <v>966</v>
      </c>
      <c r="F156" s="15" t="n">
        <v>3</v>
      </c>
      <c r="G156" s="16" t="s">
        <v>17</v>
      </c>
      <c r="H156" s="15" t="s">
        <v>627</v>
      </c>
      <c r="I156" s="16" t="s">
        <v>961</v>
      </c>
      <c r="J156" s="16" t="s">
        <v>967</v>
      </c>
    </row>
    <row r="157" customFormat="false" ht="35.05" hidden="false" customHeight="false" outlineLevel="0" collapsed="false">
      <c r="A157" s="15" t="s">
        <v>125</v>
      </c>
      <c r="B157" s="16" t="s">
        <v>126</v>
      </c>
      <c r="C157" s="16" t="s">
        <v>968</v>
      </c>
      <c r="D157" s="15" t="s">
        <v>155</v>
      </c>
      <c r="E157" s="16" t="s">
        <v>851</v>
      </c>
      <c r="F157" s="15" t="n">
        <v>1</v>
      </c>
      <c r="G157" s="16" t="s">
        <v>17</v>
      </c>
      <c r="H157" s="15" t="s">
        <v>621</v>
      </c>
      <c r="I157" s="16" t="s">
        <v>969</v>
      </c>
      <c r="J157" s="16" t="s">
        <v>970</v>
      </c>
    </row>
    <row r="158" customFormat="false" ht="35.05" hidden="false" customHeight="false" outlineLevel="0" collapsed="false">
      <c r="A158" s="15" t="s">
        <v>125</v>
      </c>
      <c r="B158" s="16" t="s">
        <v>126</v>
      </c>
      <c r="C158" s="16" t="s">
        <v>968</v>
      </c>
      <c r="D158" s="15" t="s">
        <v>600</v>
      </c>
      <c r="E158" s="16" t="s">
        <v>630</v>
      </c>
      <c r="F158" s="15" t="n">
        <v>7</v>
      </c>
      <c r="G158" s="16" t="s">
        <v>17</v>
      </c>
      <c r="H158" s="15" t="s">
        <v>654</v>
      </c>
      <c r="I158" s="16" t="s">
        <v>971</v>
      </c>
      <c r="J158" s="16" t="s">
        <v>972</v>
      </c>
    </row>
    <row r="159" customFormat="false" ht="35.05" hidden="false" customHeight="false" outlineLevel="0" collapsed="false">
      <c r="A159" s="15" t="s">
        <v>125</v>
      </c>
      <c r="B159" s="16" t="s">
        <v>126</v>
      </c>
      <c r="C159" s="16" t="s">
        <v>968</v>
      </c>
      <c r="D159" s="15" t="s">
        <v>603</v>
      </c>
      <c r="E159" s="16" t="s">
        <v>966</v>
      </c>
      <c r="F159" s="15" t="n">
        <v>2</v>
      </c>
      <c r="G159" s="16" t="s">
        <v>17</v>
      </c>
      <c r="H159" s="15" t="s">
        <v>627</v>
      </c>
      <c r="I159" s="16" t="s">
        <v>969</v>
      </c>
      <c r="J159" s="16" t="s">
        <v>973</v>
      </c>
    </row>
    <row r="160" customFormat="false" ht="35.05" hidden="false" customHeight="false" outlineLevel="0" collapsed="false">
      <c r="A160" s="15" t="s">
        <v>125</v>
      </c>
      <c r="B160" s="16" t="s">
        <v>126</v>
      </c>
      <c r="C160" s="16" t="s">
        <v>974</v>
      </c>
      <c r="D160" s="15" t="s">
        <v>48</v>
      </c>
      <c r="E160" s="16" t="s">
        <v>751</v>
      </c>
      <c r="F160" s="15" t="n">
        <v>5</v>
      </c>
      <c r="G160" s="16" t="s">
        <v>17</v>
      </c>
      <c r="H160" s="15" t="s">
        <v>654</v>
      </c>
      <c r="I160" s="16" t="s">
        <v>975</v>
      </c>
      <c r="J160" s="16" t="s">
        <v>976</v>
      </c>
    </row>
    <row r="161" customFormat="false" ht="35.05" hidden="false" customHeight="false" outlineLevel="0" collapsed="false">
      <c r="A161" s="15" t="s">
        <v>125</v>
      </c>
      <c r="B161" s="16" t="s">
        <v>126</v>
      </c>
      <c r="C161" s="16" t="s">
        <v>974</v>
      </c>
      <c r="D161" s="15" t="s">
        <v>568</v>
      </c>
      <c r="E161" s="16" t="s">
        <v>814</v>
      </c>
      <c r="F161" s="15" t="n">
        <v>1</v>
      </c>
      <c r="G161" s="16" t="s">
        <v>17</v>
      </c>
      <c r="H161" s="15" t="s">
        <v>621</v>
      </c>
      <c r="I161" s="16" t="s">
        <v>975</v>
      </c>
      <c r="J161" s="16" t="s">
        <v>977</v>
      </c>
    </row>
    <row r="162" customFormat="false" ht="35.05" hidden="false" customHeight="false" outlineLevel="0" collapsed="false">
      <c r="A162" s="15" t="s">
        <v>125</v>
      </c>
      <c r="B162" s="16" t="s">
        <v>132</v>
      </c>
      <c r="C162" s="16" t="s">
        <v>619</v>
      </c>
      <c r="D162" s="15" t="s">
        <v>398</v>
      </c>
      <c r="E162" s="16" t="s">
        <v>641</v>
      </c>
      <c r="F162" s="15" t="n">
        <v>1</v>
      </c>
      <c r="G162" s="16" t="s">
        <v>17</v>
      </c>
      <c r="H162" s="15" t="s">
        <v>621</v>
      </c>
      <c r="I162" s="16" t="s">
        <v>978</v>
      </c>
      <c r="J162" s="16" t="s">
        <v>979</v>
      </c>
    </row>
    <row r="163" customFormat="false" ht="35.05" hidden="false" customHeight="false" outlineLevel="0" collapsed="false">
      <c r="A163" s="15" t="s">
        <v>125</v>
      </c>
      <c r="B163" s="16" t="s">
        <v>132</v>
      </c>
      <c r="C163" s="16" t="s">
        <v>619</v>
      </c>
      <c r="D163" s="15" t="s">
        <v>84</v>
      </c>
      <c r="E163" s="16" t="s">
        <v>657</v>
      </c>
      <c r="F163" s="15" t="n">
        <v>1</v>
      </c>
      <c r="G163" s="16" t="s">
        <v>17</v>
      </c>
      <c r="H163" s="15" t="s">
        <v>621</v>
      </c>
      <c r="I163" s="16" t="s">
        <v>980</v>
      </c>
      <c r="J163" s="16" t="s">
        <v>981</v>
      </c>
    </row>
    <row r="164" customFormat="false" ht="35.05" hidden="false" customHeight="false" outlineLevel="0" collapsed="false">
      <c r="A164" s="15" t="s">
        <v>125</v>
      </c>
      <c r="B164" s="16" t="s">
        <v>132</v>
      </c>
      <c r="C164" s="16" t="s">
        <v>619</v>
      </c>
      <c r="D164" s="15" t="s">
        <v>588</v>
      </c>
      <c r="E164" s="16" t="s">
        <v>982</v>
      </c>
      <c r="F164" s="15" t="n">
        <v>1</v>
      </c>
      <c r="G164" s="16" t="s">
        <v>17</v>
      </c>
      <c r="H164" s="15" t="s">
        <v>621</v>
      </c>
      <c r="I164" s="16" t="s">
        <v>983</v>
      </c>
      <c r="J164" s="16" t="s">
        <v>984</v>
      </c>
    </row>
    <row r="165" customFormat="false" ht="35.05" hidden="false" customHeight="false" outlineLevel="0" collapsed="false">
      <c r="A165" s="15" t="s">
        <v>125</v>
      </c>
      <c r="B165" s="16" t="s">
        <v>132</v>
      </c>
      <c r="C165" s="16" t="s">
        <v>619</v>
      </c>
      <c r="D165" s="15" t="s">
        <v>155</v>
      </c>
      <c r="E165" s="16" t="s">
        <v>851</v>
      </c>
      <c r="F165" s="15" t="n">
        <v>1</v>
      </c>
      <c r="G165" s="16" t="s">
        <v>17</v>
      </c>
      <c r="H165" s="15" t="s">
        <v>621</v>
      </c>
      <c r="I165" s="16" t="s">
        <v>978</v>
      </c>
      <c r="J165" s="16" t="s">
        <v>985</v>
      </c>
    </row>
    <row r="166" customFormat="false" ht="35.05" hidden="false" customHeight="false" outlineLevel="0" collapsed="false">
      <c r="A166" s="15" t="s">
        <v>125</v>
      </c>
      <c r="B166" s="16" t="s">
        <v>132</v>
      </c>
      <c r="C166" s="16" t="s">
        <v>619</v>
      </c>
      <c r="D166" s="15" t="s">
        <v>148</v>
      </c>
      <c r="E166" s="16" t="s">
        <v>955</v>
      </c>
      <c r="F166" s="15" t="n">
        <v>16</v>
      </c>
      <c r="G166" s="16" t="s">
        <v>986</v>
      </c>
      <c r="H166" s="15" t="s">
        <v>654</v>
      </c>
      <c r="I166" s="16" t="s">
        <v>987</v>
      </c>
      <c r="J166" s="16" t="s">
        <v>988</v>
      </c>
    </row>
    <row r="167" customFormat="false" ht="35.05" hidden="false" customHeight="false" outlineLevel="0" collapsed="false">
      <c r="A167" s="15" t="s">
        <v>125</v>
      </c>
      <c r="B167" s="16" t="s">
        <v>132</v>
      </c>
      <c r="C167" s="16" t="s">
        <v>619</v>
      </c>
      <c r="D167" s="15" t="s">
        <v>599</v>
      </c>
      <c r="E167" s="16" t="s">
        <v>854</v>
      </c>
      <c r="F167" s="15" t="n">
        <v>1</v>
      </c>
      <c r="G167" s="16" t="s">
        <v>17</v>
      </c>
      <c r="H167" s="15" t="s">
        <v>621</v>
      </c>
      <c r="I167" s="16" t="s">
        <v>983</v>
      </c>
      <c r="J167" s="16" t="s">
        <v>989</v>
      </c>
    </row>
    <row r="168" customFormat="false" ht="35.05" hidden="false" customHeight="false" outlineLevel="0" collapsed="false">
      <c r="A168" s="15" t="s">
        <v>125</v>
      </c>
      <c r="B168" s="16" t="s">
        <v>132</v>
      </c>
      <c r="C168" s="16" t="s">
        <v>619</v>
      </c>
      <c r="D168" s="15" t="s">
        <v>600</v>
      </c>
      <c r="E168" s="16" t="s">
        <v>630</v>
      </c>
      <c r="F168" s="15" t="n">
        <v>13</v>
      </c>
      <c r="G168" s="16" t="s">
        <v>17</v>
      </c>
      <c r="H168" s="15" t="s">
        <v>654</v>
      </c>
      <c r="I168" s="16" t="s">
        <v>983</v>
      </c>
      <c r="J168" s="16" t="s">
        <v>990</v>
      </c>
    </row>
    <row r="169" customFormat="false" ht="35.05" hidden="false" customHeight="false" outlineLevel="0" collapsed="false">
      <c r="A169" s="15" t="s">
        <v>125</v>
      </c>
      <c r="B169" s="16" t="s">
        <v>132</v>
      </c>
      <c r="C169" s="16" t="s">
        <v>619</v>
      </c>
      <c r="D169" s="15" t="s">
        <v>601</v>
      </c>
      <c r="E169" s="16" t="s">
        <v>991</v>
      </c>
      <c r="F169" s="15" t="n">
        <v>3</v>
      </c>
      <c r="G169" s="16" t="s">
        <v>17</v>
      </c>
      <c r="H169" s="15" t="s">
        <v>627</v>
      </c>
      <c r="I169" s="16" t="s">
        <v>992</v>
      </c>
      <c r="J169" s="16" t="s">
        <v>993</v>
      </c>
    </row>
    <row r="170" customFormat="false" ht="35.05" hidden="false" customHeight="false" outlineLevel="0" collapsed="false">
      <c r="A170" s="15" t="s">
        <v>125</v>
      </c>
      <c r="B170" s="16" t="s">
        <v>132</v>
      </c>
      <c r="C170" s="16" t="s">
        <v>619</v>
      </c>
      <c r="D170" s="15" t="s">
        <v>603</v>
      </c>
      <c r="E170" s="16" t="s">
        <v>966</v>
      </c>
      <c r="F170" s="15" t="n">
        <v>2</v>
      </c>
      <c r="G170" s="16" t="s">
        <v>17</v>
      </c>
      <c r="H170" s="15" t="s">
        <v>627</v>
      </c>
      <c r="I170" s="16" t="s">
        <v>978</v>
      </c>
      <c r="J170" s="16" t="s">
        <v>994</v>
      </c>
    </row>
    <row r="171" customFormat="false" ht="35.05" hidden="false" customHeight="false" outlineLevel="0" collapsed="false">
      <c r="A171" s="15" t="s">
        <v>125</v>
      </c>
      <c r="B171" s="16" t="s">
        <v>132</v>
      </c>
      <c r="C171" s="16" t="s">
        <v>136</v>
      </c>
      <c r="D171" s="15" t="s">
        <v>148</v>
      </c>
      <c r="E171" s="16" t="s">
        <v>955</v>
      </c>
      <c r="F171" s="15" t="n">
        <v>10</v>
      </c>
      <c r="G171" s="16" t="s">
        <v>995</v>
      </c>
      <c r="H171" s="15" t="s">
        <v>654</v>
      </c>
      <c r="I171" s="16" t="s">
        <v>996</v>
      </c>
      <c r="J171" s="16" t="s">
        <v>997</v>
      </c>
    </row>
    <row r="172" customFormat="false" ht="35.05" hidden="false" customHeight="false" outlineLevel="0" collapsed="false">
      <c r="A172" s="15" t="s">
        <v>125</v>
      </c>
      <c r="B172" s="16" t="s">
        <v>132</v>
      </c>
      <c r="C172" s="16" t="s">
        <v>136</v>
      </c>
      <c r="D172" s="15" t="s">
        <v>600</v>
      </c>
      <c r="E172" s="16" t="s">
        <v>630</v>
      </c>
      <c r="F172" s="15" t="n">
        <v>13</v>
      </c>
      <c r="G172" s="16" t="s">
        <v>17</v>
      </c>
      <c r="H172" s="15" t="s">
        <v>654</v>
      </c>
      <c r="I172" s="16" t="s">
        <v>998</v>
      </c>
      <c r="J172" s="16" t="s">
        <v>999</v>
      </c>
    </row>
    <row r="173" customFormat="false" ht="35.05" hidden="false" customHeight="false" outlineLevel="0" collapsed="false">
      <c r="A173" s="15" t="s">
        <v>125</v>
      </c>
      <c r="B173" s="16" t="s">
        <v>132</v>
      </c>
      <c r="C173" s="16" t="s">
        <v>136</v>
      </c>
      <c r="D173" s="15" t="s">
        <v>603</v>
      </c>
      <c r="E173" s="16" t="s">
        <v>966</v>
      </c>
      <c r="F173" s="15" t="n">
        <v>3</v>
      </c>
      <c r="G173" s="16" t="s">
        <v>17</v>
      </c>
      <c r="H173" s="15" t="s">
        <v>627</v>
      </c>
      <c r="I173" s="16" t="s">
        <v>1000</v>
      </c>
      <c r="J173" s="16" t="s">
        <v>1001</v>
      </c>
    </row>
    <row r="174" customFormat="false" ht="35.05" hidden="false" customHeight="false" outlineLevel="0" collapsed="false">
      <c r="A174" s="15" t="s">
        <v>125</v>
      </c>
      <c r="B174" s="16" t="s">
        <v>132</v>
      </c>
      <c r="C174" s="16" t="s">
        <v>136</v>
      </c>
      <c r="D174" s="15" t="s">
        <v>137</v>
      </c>
      <c r="E174" s="16" t="s">
        <v>1002</v>
      </c>
      <c r="F174" s="15" t="n">
        <v>1</v>
      </c>
      <c r="G174" s="16" t="s">
        <v>17</v>
      </c>
      <c r="H174" s="15" t="s">
        <v>621</v>
      </c>
      <c r="I174" s="16" t="s">
        <v>998</v>
      </c>
      <c r="J174" s="16" t="s">
        <v>1003</v>
      </c>
    </row>
    <row r="175" customFormat="false" ht="35.05" hidden="false" customHeight="false" outlineLevel="0" collapsed="false">
      <c r="A175" s="15" t="s">
        <v>125</v>
      </c>
      <c r="B175" s="16" t="s">
        <v>138</v>
      </c>
      <c r="C175" s="16" t="s">
        <v>619</v>
      </c>
      <c r="D175" s="15" t="s">
        <v>148</v>
      </c>
      <c r="E175" s="16" t="s">
        <v>955</v>
      </c>
      <c r="F175" s="15" t="n">
        <v>6</v>
      </c>
      <c r="G175" s="16" t="s">
        <v>1004</v>
      </c>
      <c r="H175" s="15" t="s">
        <v>654</v>
      </c>
      <c r="I175" s="16" t="s">
        <v>1005</v>
      </c>
      <c r="J175" s="16" t="s">
        <v>1006</v>
      </c>
    </row>
    <row r="176" customFormat="false" ht="35.05" hidden="false" customHeight="false" outlineLevel="0" collapsed="false">
      <c r="A176" s="15" t="s">
        <v>125</v>
      </c>
      <c r="B176" s="16" t="s">
        <v>138</v>
      </c>
      <c r="C176" s="16" t="s">
        <v>619</v>
      </c>
      <c r="D176" s="15" t="s">
        <v>599</v>
      </c>
      <c r="E176" s="16" t="s">
        <v>854</v>
      </c>
      <c r="F176" s="15" t="n">
        <v>6</v>
      </c>
      <c r="G176" s="16" t="s">
        <v>17</v>
      </c>
      <c r="H176" s="15" t="s">
        <v>654</v>
      </c>
      <c r="I176" s="16" t="s">
        <v>1007</v>
      </c>
      <c r="J176" s="16" t="s">
        <v>1008</v>
      </c>
    </row>
    <row r="177" customFormat="false" ht="35.05" hidden="false" customHeight="false" outlineLevel="0" collapsed="false">
      <c r="A177" s="15" t="s">
        <v>125</v>
      </c>
      <c r="B177" s="16" t="s">
        <v>138</v>
      </c>
      <c r="C177" s="16" t="s">
        <v>619</v>
      </c>
      <c r="D177" s="15" t="s">
        <v>600</v>
      </c>
      <c r="E177" s="16" t="s">
        <v>630</v>
      </c>
      <c r="F177" s="15" t="n">
        <v>1</v>
      </c>
      <c r="G177" s="16" t="s">
        <v>17</v>
      </c>
      <c r="H177" s="15" t="s">
        <v>621</v>
      </c>
      <c r="I177" s="16" t="s">
        <v>1009</v>
      </c>
      <c r="J177" s="16" t="s">
        <v>1010</v>
      </c>
    </row>
    <row r="178" customFormat="false" ht="35.05" hidden="false" customHeight="false" outlineLevel="0" collapsed="false">
      <c r="A178" s="15" t="s">
        <v>125</v>
      </c>
      <c r="B178" s="16" t="s">
        <v>138</v>
      </c>
      <c r="C178" s="16" t="s">
        <v>619</v>
      </c>
      <c r="D178" s="15" t="s">
        <v>601</v>
      </c>
      <c r="E178" s="16" t="s">
        <v>991</v>
      </c>
      <c r="F178" s="15" t="n">
        <v>1</v>
      </c>
      <c r="G178" s="16" t="s">
        <v>17</v>
      </c>
      <c r="H178" s="15" t="s">
        <v>621</v>
      </c>
      <c r="I178" s="16" t="s">
        <v>1011</v>
      </c>
      <c r="J178" s="16" t="s">
        <v>1012</v>
      </c>
    </row>
    <row r="179" customFormat="false" ht="46.25" hidden="false" customHeight="false" outlineLevel="0" collapsed="false">
      <c r="A179" s="15" t="s">
        <v>125</v>
      </c>
      <c r="B179" s="16" t="s">
        <v>142</v>
      </c>
      <c r="C179" s="16" t="s">
        <v>619</v>
      </c>
      <c r="D179" s="15" t="s">
        <v>145</v>
      </c>
      <c r="E179" s="16" t="s">
        <v>1013</v>
      </c>
      <c r="F179" s="15" t="n">
        <v>2</v>
      </c>
      <c r="G179" s="16" t="s">
        <v>1014</v>
      </c>
      <c r="H179" s="15" t="s">
        <v>654</v>
      </c>
      <c r="I179" s="16" t="s">
        <v>1015</v>
      </c>
      <c r="J179" s="16" t="s">
        <v>1016</v>
      </c>
    </row>
    <row r="180" customFormat="false" ht="35.05" hidden="false" customHeight="false" outlineLevel="0" collapsed="false">
      <c r="A180" s="15" t="s">
        <v>125</v>
      </c>
      <c r="B180" s="16" t="s">
        <v>142</v>
      </c>
      <c r="C180" s="16" t="s">
        <v>619</v>
      </c>
      <c r="D180" s="15" t="s">
        <v>599</v>
      </c>
      <c r="E180" s="16" t="s">
        <v>854</v>
      </c>
      <c r="F180" s="15" t="n">
        <v>1</v>
      </c>
      <c r="G180" s="16" t="s">
        <v>17</v>
      </c>
      <c r="H180" s="15" t="s">
        <v>621</v>
      </c>
      <c r="I180" s="16" t="s">
        <v>1017</v>
      </c>
      <c r="J180" s="16" t="s">
        <v>1018</v>
      </c>
    </row>
    <row r="181" customFormat="false" ht="35.05" hidden="false" customHeight="false" outlineLevel="0" collapsed="false">
      <c r="A181" s="15" t="s">
        <v>125</v>
      </c>
      <c r="B181" s="16" t="s">
        <v>146</v>
      </c>
      <c r="C181" s="16" t="s">
        <v>619</v>
      </c>
      <c r="D181" s="15" t="s">
        <v>148</v>
      </c>
      <c r="E181" s="16" t="s">
        <v>955</v>
      </c>
      <c r="F181" s="15" t="n">
        <v>2</v>
      </c>
      <c r="G181" s="16" t="s">
        <v>17</v>
      </c>
      <c r="H181" s="15" t="s">
        <v>627</v>
      </c>
      <c r="I181" s="16" t="s">
        <v>1019</v>
      </c>
      <c r="J181" s="16" t="s">
        <v>1020</v>
      </c>
    </row>
    <row r="182" customFormat="false" ht="35.05" hidden="false" customHeight="false" outlineLevel="0" collapsed="false">
      <c r="A182" s="15" t="s">
        <v>125</v>
      </c>
      <c r="B182" s="16" t="s">
        <v>149</v>
      </c>
      <c r="C182" s="16" t="s">
        <v>619</v>
      </c>
      <c r="D182" s="15" t="s">
        <v>28</v>
      </c>
      <c r="E182" s="16" t="s">
        <v>652</v>
      </c>
      <c r="F182" s="15" t="n">
        <v>1</v>
      </c>
      <c r="G182" s="16" t="s">
        <v>17</v>
      </c>
      <c r="H182" s="15" t="s">
        <v>621</v>
      </c>
      <c r="I182" s="16" t="s">
        <v>1021</v>
      </c>
      <c r="J182" s="16" t="s">
        <v>1022</v>
      </c>
    </row>
    <row r="183" customFormat="false" ht="35.05" hidden="false" customHeight="false" outlineLevel="0" collapsed="false">
      <c r="A183" s="15" t="s">
        <v>125</v>
      </c>
      <c r="B183" s="16" t="s">
        <v>149</v>
      </c>
      <c r="C183" s="16" t="s">
        <v>619</v>
      </c>
      <c r="D183" s="15" t="s">
        <v>567</v>
      </c>
      <c r="E183" s="16" t="s">
        <v>707</v>
      </c>
      <c r="F183" s="15" t="n">
        <v>1</v>
      </c>
      <c r="G183" s="16" t="s">
        <v>17</v>
      </c>
      <c r="H183" s="15" t="s">
        <v>621</v>
      </c>
      <c r="I183" s="16" t="s">
        <v>1023</v>
      </c>
      <c r="J183" s="16" t="s">
        <v>1024</v>
      </c>
    </row>
    <row r="184" customFormat="false" ht="35.05" hidden="false" customHeight="false" outlineLevel="0" collapsed="false">
      <c r="A184" s="15" t="s">
        <v>125</v>
      </c>
      <c r="B184" s="16" t="s">
        <v>149</v>
      </c>
      <c r="C184" s="16" t="s">
        <v>619</v>
      </c>
      <c r="D184" s="15" t="s">
        <v>148</v>
      </c>
      <c r="E184" s="16" t="s">
        <v>955</v>
      </c>
      <c r="F184" s="15" t="n">
        <v>2</v>
      </c>
      <c r="G184" s="16" t="s">
        <v>17</v>
      </c>
      <c r="H184" s="15" t="s">
        <v>627</v>
      </c>
      <c r="I184" s="16" t="s">
        <v>1025</v>
      </c>
      <c r="J184" s="16" t="s">
        <v>1026</v>
      </c>
    </row>
    <row r="185" customFormat="false" ht="35.05" hidden="false" customHeight="false" outlineLevel="0" collapsed="false">
      <c r="A185" s="15" t="s">
        <v>125</v>
      </c>
      <c r="B185" s="16" t="s">
        <v>149</v>
      </c>
      <c r="C185" s="16" t="s">
        <v>152</v>
      </c>
      <c r="D185" s="15" t="s">
        <v>148</v>
      </c>
      <c r="E185" s="16" t="s">
        <v>955</v>
      </c>
      <c r="F185" s="15" t="n">
        <v>2</v>
      </c>
      <c r="G185" s="16" t="s">
        <v>17</v>
      </c>
      <c r="H185" s="15" t="s">
        <v>627</v>
      </c>
      <c r="I185" s="16" t="s">
        <v>1027</v>
      </c>
      <c r="J185" s="16" t="s">
        <v>1028</v>
      </c>
    </row>
    <row r="186" customFormat="false" ht="35.05" hidden="false" customHeight="false" outlineLevel="0" collapsed="false">
      <c r="A186" s="15" t="s">
        <v>125</v>
      </c>
      <c r="B186" s="16" t="s">
        <v>153</v>
      </c>
      <c r="C186" s="16" t="s">
        <v>619</v>
      </c>
      <c r="D186" s="15" t="s">
        <v>155</v>
      </c>
      <c r="E186" s="16" t="s">
        <v>851</v>
      </c>
      <c r="F186" s="15" t="n">
        <v>5</v>
      </c>
      <c r="G186" s="16" t="s">
        <v>17</v>
      </c>
      <c r="H186" s="15" t="s">
        <v>654</v>
      </c>
      <c r="I186" s="16" t="s">
        <v>1029</v>
      </c>
      <c r="J186" s="16" t="s">
        <v>1030</v>
      </c>
    </row>
    <row r="187" customFormat="false" ht="35.05" hidden="false" customHeight="false" outlineLevel="0" collapsed="false">
      <c r="A187" s="15" t="s">
        <v>125</v>
      </c>
      <c r="B187" s="16" t="s">
        <v>156</v>
      </c>
      <c r="C187" s="16" t="s">
        <v>619</v>
      </c>
      <c r="D187" s="15" t="s">
        <v>568</v>
      </c>
      <c r="E187" s="16" t="s">
        <v>814</v>
      </c>
      <c r="F187" s="15" t="n">
        <v>2</v>
      </c>
      <c r="G187" s="16" t="s">
        <v>17</v>
      </c>
      <c r="H187" s="15" t="s">
        <v>627</v>
      </c>
      <c r="I187" s="16" t="s">
        <v>1031</v>
      </c>
      <c r="J187" s="16" t="s">
        <v>1032</v>
      </c>
    </row>
    <row r="188" customFormat="false" ht="35.05" hidden="false" customHeight="false" outlineLevel="0" collapsed="false">
      <c r="A188" s="15" t="s">
        <v>125</v>
      </c>
      <c r="B188" s="16" t="s">
        <v>156</v>
      </c>
      <c r="C188" s="16" t="s">
        <v>619</v>
      </c>
      <c r="D188" s="15" t="s">
        <v>599</v>
      </c>
      <c r="E188" s="16" t="s">
        <v>854</v>
      </c>
      <c r="F188" s="15" t="n">
        <v>1</v>
      </c>
      <c r="G188" s="16" t="s">
        <v>17</v>
      </c>
      <c r="H188" s="15" t="s">
        <v>621</v>
      </c>
      <c r="I188" s="16" t="s">
        <v>1033</v>
      </c>
      <c r="J188" s="16" t="s">
        <v>1034</v>
      </c>
    </row>
    <row r="189" customFormat="false" ht="35.05" hidden="false" customHeight="false" outlineLevel="0" collapsed="false">
      <c r="A189" s="15" t="s">
        <v>125</v>
      </c>
      <c r="B189" s="16" t="s">
        <v>156</v>
      </c>
      <c r="C189" s="16" t="s">
        <v>619</v>
      </c>
      <c r="D189" s="15" t="s">
        <v>166</v>
      </c>
      <c r="E189" s="16" t="s">
        <v>823</v>
      </c>
      <c r="F189" s="15" t="n">
        <v>61</v>
      </c>
      <c r="G189" s="16" t="s">
        <v>1035</v>
      </c>
      <c r="H189" s="15" t="s">
        <v>654</v>
      </c>
      <c r="I189" s="16" t="s">
        <v>1031</v>
      </c>
      <c r="J189" s="16" t="s">
        <v>1036</v>
      </c>
    </row>
    <row r="190" customFormat="false" ht="35.05" hidden="false" customHeight="false" outlineLevel="0" collapsed="false">
      <c r="A190" s="15" t="s">
        <v>125</v>
      </c>
      <c r="B190" s="16" t="s">
        <v>156</v>
      </c>
      <c r="C190" s="16" t="s">
        <v>619</v>
      </c>
      <c r="D190" s="15" t="s">
        <v>241</v>
      </c>
      <c r="E190" s="16" t="s">
        <v>1037</v>
      </c>
      <c r="F190" s="15" t="n">
        <v>4</v>
      </c>
      <c r="G190" s="16" t="s">
        <v>17</v>
      </c>
      <c r="H190" s="15" t="s">
        <v>627</v>
      </c>
      <c r="I190" s="16" t="s">
        <v>1038</v>
      </c>
      <c r="J190" s="16" t="s">
        <v>1039</v>
      </c>
    </row>
    <row r="191" customFormat="false" ht="35.05" hidden="false" customHeight="false" outlineLevel="0" collapsed="false">
      <c r="A191" s="15" t="s">
        <v>125</v>
      </c>
      <c r="B191" s="16" t="s">
        <v>156</v>
      </c>
      <c r="C191" s="16" t="s">
        <v>619</v>
      </c>
      <c r="D191" s="15" t="s">
        <v>602</v>
      </c>
      <c r="E191" s="16" t="s">
        <v>1040</v>
      </c>
      <c r="F191" s="15" t="n">
        <v>3</v>
      </c>
      <c r="G191" s="16" t="s">
        <v>17</v>
      </c>
      <c r="H191" s="15" t="s">
        <v>627</v>
      </c>
      <c r="I191" s="16" t="s">
        <v>1031</v>
      </c>
      <c r="J191" s="16" t="s">
        <v>1041</v>
      </c>
    </row>
    <row r="192" customFormat="false" ht="35.05" hidden="false" customHeight="false" outlineLevel="0" collapsed="false">
      <c r="A192" s="15" t="s">
        <v>125</v>
      </c>
      <c r="B192" s="16" t="s">
        <v>156</v>
      </c>
      <c r="C192" s="16" t="s">
        <v>619</v>
      </c>
      <c r="D192" s="15" t="s">
        <v>605</v>
      </c>
      <c r="E192" s="16" t="s">
        <v>1042</v>
      </c>
      <c r="F192" s="15" t="n">
        <v>11</v>
      </c>
      <c r="G192" s="16" t="s">
        <v>17</v>
      </c>
      <c r="H192" s="15" t="s">
        <v>654</v>
      </c>
      <c r="I192" s="16" t="s">
        <v>1031</v>
      </c>
      <c r="J192" s="16" t="s">
        <v>1043</v>
      </c>
    </row>
    <row r="193" customFormat="false" ht="35.05" hidden="false" customHeight="false" outlineLevel="0" collapsed="false">
      <c r="A193" s="15" t="s">
        <v>125</v>
      </c>
      <c r="B193" s="16" t="s">
        <v>160</v>
      </c>
      <c r="C193" s="16" t="s">
        <v>619</v>
      </c>
      <c r="D193" s="15" t="s">
        <v>599</v>
      </c>
      <c r="E193" s="16" t="s">
        <v>854</v>
      </c>
      <c r="F193" s="15" t="n">
        <v>4</v>
      </c>
      <c r="G193" s="16" t="s">
        <v>17</v>
      </c>
      <c r="H193" s="15" t="s">
        <v>627</v>
      </c>
      <c r="I193" s="16" t="s">
        <v>1044</v>
      </c>
      <c r="J193" s="16" t="s">
        <v>1045</v>
      </c>
    </row>
    <row r="194" customFormat="false" ht="35.05" hidden="false" customHeight="false" outlineLevel="0" collapsed="false">
      <c r="A194" s="15" t="s">
        <v>125</v>
      </c>
      <c r="B194" s="16" t="s">
        <v>160</v>
      </c>
      <c r="C194" s="16" t="s">
        <v>619</v>
      </c>
      <c r="D194" s="15" t="s">
        <v>166</v>
      </c>
      <c r="E194" s="16" t="s">
        <v>823</v>
      </c>
      <c r="F194" s="15" t="n">
        <v>16</v>
      </c>
      <c r="G194" s="16" t="s">
        <v>17</v>
      </c>
      <c r="H194" s="15" t="s">
        <v>654</v>
      </c>
      <c r="I194" s="16" t="s">
        <v>1046</v>
      </c>
      <c r="J194" s="16" t="s">
        <v>1047</v>
      </c>
    </row>
    <row r="195" customFormat="false" ht="35.05" hidden="false" customHeight="false" outlineLevel="0" collapsed="false">
      <c r="A195" s="15" t="s">
        <v>125</v>
      </c>
      <c r="B195" s="16" t="s">
        <v>160</v>
      </c>
      <c r="C195" s="16" t="s">
        <v>619</v>
      </c>
      <c r="D195" s="15" t="s">
        <v>602</v>
      </c>
      <c r="E195" s="16" t="s">
        <v>1040</v>
      </c>
      <c r="F195" s="15" t="n">
        <v>2</v>
      </c>
      <c r="G195" s="16" t="s">
        <v>17</v>
      </c>
      <c r="H195" s="15" t="s">
        <v>627</v>
      </c>
      <c r="I195" s="16" t="s">
        <v>1048</v>
      </c>
      <c r="J195" s="16" t="s">
        <v>1049</v>
      </c>
    </row>
    <row r="196" customFormat="false" ht="35.05" hidden="false" customHeight="false" outlineLevel="0" collapsed="false">
      <c r="A196" s="15" t="s">
        <v>125</v>
      </c>
      <c r="B196" s="16" t="s">
        <v>160</v>
      </c>
      <c r="C196" s="16" t="s">
        <v>619</v>
      </c>
      <c r="D196" s="15" t="s">
        <v>604</v>
      </c>
      <c r="E196" s="16" t="s">
        <v>1050</v>
      </c>
      <c r="F196" s="15" t="n">
        <v>2</v>
      </c>
      <c r="G196" s="16" t="s">
        <v>17</v>
      </c>
      <c r="H196" s="15" t="s">
        <v>627</v>
      </c>
      <c r="I196" s="16" t="s">
        <v>1044</v>
      </c>
      <c r="J196" s="16" t="s">
        <v>1051</v>
      </c>
    </row>
    <row r="197" customFormat="false" ht="35.05" hidden="false" customHeight="false" outlineLevel="0" collapsed="false">
      <c r="A197" s="15" t="s">
        <v>125</v>
      </c>
      <c r="B197" s="16" t="s">
        <v>160</v>
      </c>
      <c r="C197" s="16" t="s">
        <v>619</v>
      </c>
      <c r="D197" s="15" t="s">
        <v>179</v>
      </c>
      <c r="E197" s="16" t="s">
        <v>693</v>
      </c>
      <c r="F197" s="15" t="n">
        <v>4</v>
      </c>
      <c r="G197" s="16" t="s">
        <v>17</v>
      </c>
      <c r="H197" s="15" t="s">
        <v>627</v>
      </c>
      <c r="I197" s="16" t="s">
        <v>1046</v>
      </c>
      <c r="J197" s="16" t="s">
        <v>1052</v>
      </c>
    </row>
    <row r="198" customFormat="false" ht="35.05" hidden="false" customHeight="false" outlineLevel="0" collapsed="false">
      <c r="A198" s="15" t="s">
        <v>125</v>
      </c>
      <c r="B198" s="16" t="s">
        <v>160</v>
      </c>
      <c r="C198" s="16" t="s">
        <v>619</v>
      </c>
      <c r="D198" s="15" t="s">
        <v>605</v>
      </c>
      <c r="E198" s="16" t="s">
        <v>1042</v>
      </c>
      <c r="F198" s="15" t="n">
        <v>23</v>
      </c>
      <c r="G198" s="16" t="s">
        <v>17</v>
      </c>
      <c r="H198" s="15" t="s">
        <v>654</v>
      </c>
      <c r="I198" s="16" t="s">
        <v>1053</v>
      </c>
      <c r="J198" s="16" t="s">
        <v>1054</v>
      </c>
    </row>
    <row r="199" customFormat="false" ht="35.05" hidden="false" customHeight="false" outlineLevel="0" collapsed="false">
      <c r="A199" s="15" t="s">
        <v>125</v>
      </c>
      <c r="B199" s="16" t="s">
        <v>163</v>
      </c>
      <c r="C199" s="16" t="s">
        <v>619</v>
      </c>
      <c r="D199" s="15" t="s">
        <v>568</v>
      </c>
      <c r="E199" s="16" t="s">
        <v>814</v>
      </c>
      <c r="F199" s="15" t="n">
        <v>1</v>
      </c>
      <c r="G199" s="16" t="s">
        <v>17</v>
      </c>
      <c r="H199" s="15" t="s">
        <v>621</v>
      </c>
      <c r="I199" s="16" t="s">
        <v>1055</v>
      </c>
      <c r="J199" s="16" t="s">
        <v>1056</v>
      </c>
    </row>
    <row r="200" customFormat="false" ht="35.05" hidden="false" customHeight="false" outlineLevel="0" collapsed="false">
      <c r="A200" s="15" t="s">
        <v>125</v>
      </c>
      <c r="B200" s="16" t="s">
        <v>163</v>
      </c>
      <c r="C200" s="16" t="s">
        <v>619</v>
      </c>
      <c r="D200" s="15" t="s">
        <v>166</v>
      </c>
      <c r="E200" s="16" t="s">
        <v>823</v>
      </c>
      <c r="F200" s="15" t="n">
        <v>3</v>
      </c>
      <c r="G200" s="16" t="s">
        <v>1057</v>
      </c>
      <c r="H200" s="15" t="s">
        <v>654</v>
      </c>
      <c r="I200" s="16" t="s">
        <v>1058</v>
      </c>
      <c r="J200" s="16" t="s">
        <v>1059</v>
      </c>
    </row>
    <row r="201" customFormat="false" ht="35.05" hidden="false" customHeight="false" outlineLevel="0" collapsed="false">
      <c r="A201" s="15" t="s">
        <v>125</v>
      </c>
      <c r="B201" s="16" t="s">
        <v>167</v>
      </c>
      <c r="C201" s="16" t="s">
        <v>619</v>
      </c>
      <c r="D201" s="15" t="s">
        <v>76</v>
      </c>
      <c r="E201" s="16" t="s">
        <v>660</v>
      </c>
      <c r="F201" s="15" t="n">
        <v>3</v>
      </c>
      <c r="G201" s="16" t="s">
        <v>17</v>
      </c>
      <c r="H201" s="15" t="s">
        <v>627</v>
      </c>
      <c r="I201" s="16" t="s">
        <v>1060</v>
      </c>
      <c r="J201" s="16" t="s">
        <v>1061</v>
      </c>
    </row>
    <row r="202" customFormat="false" ht="35.05" hidden="false" customHeight="false" outlineLevel="0" collapsed="false">
      <c r="A202" s="15" t="s">
        <v>125</v>
      </c>
      <c r="B202" s="16" t="s">
        <v>167</v>
      </c>
      <c r="C202" s="16" t="s">
        <v>619</v>
      </c>
      <c r="D202" s="15" t="s">
        <v>166</v>
      </c>
      <c r="E202" s="16" t="s">
        <v>823</v>
      </c>
      <c r="F202" s="15" t="n">
        <v>1</v>
      </c>
      <c r="G202" s="16" t="s">
        <v>17</v>
      </c>
      <c r="H202" s="15" t="s">
        <v>621</v>
      </c>
      <c r="I202" s="16" t="s">
        <v>1060</v>
      </c>
      <c r="J202" s="16" t="s">
        <v>1062</v>
      </c>
    </row>
    <row r="203" customFormat="false" ht="35.05" hidden="false" customHeight="false" outlineLevel="0" collapsed="false">
      <c r="A203" s="15" t="s">
        <v>125</v>
      </c>
      <c r="B203" s="16" t="s">
        <v>167</v>
      </c>
      <c r="C203" s="16" t="s">
        <v>619</v>
      </c>
      <c r="D203" s="15" t="s">
        <v>170</v>
      </c>
      <c r="E203" s="16" t="s">
        <v>800</v>
      </c>
      <c r="F203" s="15" t="n">
        <v>7</v>
      </c>
      <c r="G203" s="16" t="s">
        <v>17</v>
      </c>
      <c r="H203" s="15" t="s">
        <v>654</v>
      </c>
      <c r="I203" s="16" t="s">
        <v>1063</v>
      </c>
      <c r="J203" s="16" t="s">
        <v>1064</v>
      </c>
    </row>
    <row r="204" customFormat="false" ht="35.05" hidden="false" customHeight="false" outlineLevel="0" collapsed="false">
      <c r="A204" s="15" t="s">
        <v>125</v>
      </c>
      <c r="B204" s="16" t="s">
        <v>167</v>
      </c>
      <c r="C204" s="16" t="s">
        <v>619</v>
      </c>
      <c r="D204" s="15" t="s">
        <v>179</v>
      </c>
      <c r="E204" s="16" t="s">
        <v>693</v>
      </c>
      <c r="F204" s="15" t="n">
        <v>3</v>
      </c>
      <c r="G204" s="16" t="s">
        <v>17</v>
      </c>
      <c r="H204" s="15" t="s">
        <v>627</v>
      </c>
      <c r="I204" s="16" t="s">
        <v>1063</v>
      </c>
      <c r="J204" s="16" t="s">
        <v>1065</v>
      </c>
    </row>
    <row r="205" customFormat="false" ht="35.05" hidden="false" customHeight="false" outlineLevel="0" collapsed="false">
      <c r="A205" s="15" t="s">
        <v>125</v>
      </c>
      <c r="B205" s="16" t="s">
        <v>167</v>
      </c>
      <c r="C205" s="16" t="s">
        <v>619</v>
      </c>
      <c r="D205" s="15" t="s">
        <v>605</v>
      </c>
      <c r="E205" s="16" t="s">
        <v>1042</v>
      </c>
      <c r="F205" s="15" t="n">
        <v>1</v>
      </c>
      <c r="G205" s="16" t="s">
        <v>17</v>
      </c>
      <c r="H205" s="15" t="s">
        <v>621</v>
      </c>
      <c r="I205" s="16" t="s">
        <v>1066</v>
      </c>
      <c r="J205" s="16" t="s">
        <v>1067</v>
      </c>
    </row>
    <row r="206" customFormat="false" ht="35.05" hidden="false" customHeight="false" outlineLevel="0" collapsed="false">
      <c r="A206" s="15" t="s">
        <v>125</v>
      </c>
      <c r="B206" s="16" t="s">
        <v>167</v>
      </c>
      <c r="C206" s="16" t="s">
        <v>1068</v>
      </c>
      <c r="D206" s="15" t="s">
        <v>179</v>
      </c>
      <c r="E206" s="16" t="s">
        <v>693</v>
      </c>
      <c r="F206" s="15" t="n">
        <v>3</v>
      </c>
      <c r="G206" s="16" t="s">
        <v>17</v>
      </c>
      <c r="H206" s="15" t="s">
        <v>627</v>
      </c>
      <c r="I206" s="16" t="s">
        <v>1069</v>
      </c>
      <c r="J206" s="16" t="s">
        <v>1070</v>
      </c>
    </row>
    <row r="207" customFormat="false" ht="35.05" hidden="false" customHeight="false" outlineLevel="0" collapsed="false">
      <c r="A207" s="15" t="s">
        <v>125</v>
      </c>
      <c r="B207" s="16" t="s">
        <v>167</v>
      </c>
      <c r="C207" s="16" t="s">
        <v>1071</v>
      </c>
      <c r="D207" s="15" t="s">
        <v>170</v>
      </c>
      <c r="E207" s="16" t="s">
        <v>800</v>
      </c>
      <c r="F207" s="15" t="n">
        <v>2</v>
      </c>
      <c r="G207" s="16" t="s">
        <v>17</v>
      </c>
      <c r="H207" s="15" t="s">
        <v>627</v>
      </c>
      <c r="I207" s="16" t="s">
        <v>1072</v>
      </c>
      <c r="J207" s="16" t="s">
        <v>1073</v>
      </c>
    </row>
    <row r="208" customFormat="false" ht="35.05" hidden="false" customHeight="false" outlineLevel="0" collapsed="false">
      <c r="A208" s="15" t="s">
        <v>125</v>
      </c>
      <c r="B208" s="16" t="s">
        <v>172</v>
      </c>
      <c r="C208" s="16" t="s">
        <v>619</v>
      </c>
      <c r="D208" s="15" t="s">
        <v>599</v>
      </c>
      <c r="E208" s="16" t="s">
        <v>854</v>
      </c>
      <c r="F208" s="15" t="n">
        <v>13</v>
      </c>
      <c r="G208" s="16" t="s">
        <v>1074</v>
      </c>
      <c r="H208" s="15" t="s">
        <v>654</v>
      </c>
      <c r="I208" s="16" t="s">
        <v>1075</v>
      </c>
      <c r="J208" s="16" t="s">
        <v>1076</v>
      </c>
    </row>
    <row r="209" customFormat="false" ht="35.05" hidden="false" customHeight="false" outlineLevel="0" collapsed="false">
      <c r="A209" s="15" t="s">
        <v>125</v>
      </c>
      <c r="B209" s="16" t="s">
        <v>172</v>
      </c>
      <c r="C209" s="16" t="s">
        <v>619</v>
      </c>
      <c r="D209" s="15" t="s">
        <v>600</v>
      </c>
      <c r="E209" s="16" t="s">
        <v>630</v>
      </c>
      <c r="F209" s="15" t="n">
        <v>6</v>
      </c>
      <c r="G209" s="16" t="s">
        <v>17</v>
      </c>
      <c r="H209" s="15" t="s">
        <v>654</v>
      </c>
      <c r="I209" s="16" t="s">
        <v>1077</v>
      </c>
      <c r="J209" s="16" t="s">
        <v>1078</v>
      </c>
    </row>
    <row r="210" customFormat="false" ht="35.05" hidden="false" customHeight="false" outlineLevel="0" collapsed="false">
      <c r="A210" s="15" t="s">
        <v>125</v>
      </c>
      <c r="B210" s="16" t="s">
        <v>172</v>
      </c>
      <c r="C210" s="16" t="s">
        <v>619</v>
      </c>
      <c r="D210" s="15" t="s">
        <v>166</v>
      </c>
      <c r="E210" s="16" t="s">
        <v>823</v>
      </c>
      <c r="F210" s="15" t="n">
        <v>8</v>
      </c>
      <c r="G210" s="16" t="s">
        <v>17</v>
      </c>
      <c r="H210" s="15" t="s">
        <v>654</v>
      </c>
      <c r="I210" s="16" t="s">
        <v>1075</v>
      </c>
      <c r="J210" s="16" t="s">
        <v>1079</v>
      </c>
    </row>
    <row r="211" customFormat="false" ht="35.05" hidden="false" customHeight="false" outlineLevel="0" collapsed="false">
      <c r="A211" s="15" t="s">
        <v>125</v>
      </c>
      <c r="B211" s="16" t="s">
        <v>172</v>
      </c>
      <c r="C211" s="16" t="s">
        <v>619</v>
      </c>
      <c r="D211" s="15" t="s">
        <v>605</v>
      </c>
      <c r="E211" s="16" t="s">
        <v>1042</v>
      </c>
      <c r="F211" s="15" t="n">
        <v>3</v>
      </c>
      <c r="G211" s="16" t="s">
        <v>17</v>
      </c>
      <c r="H211" s="15" t="s">
        <v>627</v>
      </c>
      <c r="I211" s="16" t="s">
        <v>1080</v>
      </c>
      <c r="J211" s="16" t="s">
        <v>1081</v>
      </c>
    </row>
    <row r="212" customFormat="false" ht="35.05" hidden="false" customHeight="false" outlineLevel="0" collapsed="false">
      <c r="A212" s="15" t="s">
        <v>125</v>
      </c>
      <c r="B212" s="16" t="s">
        <v>176</v>
      </c>
      <c r="C212" s="16" t="s">
        <v>619</v>
      </c>
      <c r="D212" s="15" t="s">
        <v>569</v>
      </c>
      <c r="E212" s="16" t="s">
        <v>883</v>
      </c>
      <c r="F212" s="15" t="n">
        <v>1</v>
      </c>
      <c r="G212" s="16" t="s">
        <v>17</v>
      </c>
      <c r="H212" s="15" t="s">
        <v>621</v>
      </c>
      <c r="I212" s="16" t="s">
        <v>1082</v>
      </c>
      <c r="J212" s="16" t="s">
        <v>1083</v>
      </c>
    </row>
    <row r="213" customFormat="false" ht="35.05" hidden="false" customHeight="false" outlineLevel="0" collapsed="false">
      <c r="A213" s="15" t="s">
        <v>125</v>
      </c>
      <c r="B213" s="16" t="s">
        <v>176</v>
      </c>
      <c r="C213" s="16" t="s">
        <v>619</v>
      </c>
      <c r="D213" s="15" t="s">
        <v>576</v>
      </c>
      <c r="E213" s="16" t="s">
        <v>953</v>
      </c>
      <c r="F213" s="15" t="n">
        <v>1</v>
      </c>
      <c r="G213" s="16" t="s">
        <v>17</v>
      </c>
      <c r="H213" s="15" t="s">
        <v>621</v>
      </c>
      <c r="I213" s="16" t="s">
        <v>1084</v>
      </c>
      <c r="J213" s="16" t="s">
        <v>1085</v>
      </c>
    </row>
    <row r="214" customFormat="false" ht="35.05" hidden="false" customHeight="false" outlineLevel="0" collapsed="false">
      <c r="A214" s="15" t="s">
        <v>125</v>
      </c>
      <c r="B214" s="16" t="s">
        <v>176</v>
      </c>
      <c r="C214" s="16" t="s">
        <v>619</v>
      </c>
      <c r="D214" s="15" t="s">
        <v>390</v>
      </c>
      <c r="E214" s="16" t="s">
        <v>740</v>
      </c>
      <c r="F214" s="15" t="n">
        <v>1</v>
      </c>
      <c r="G214" s="16" t="s">
        <v>17</v>
      </c>
      <c r="H214" s="15" t="s">
        <v>621</v>
      </c>
      <c r="I214" s="16" t="s">
        <v>1082</v>
      </c>
      <c r="J214" s="16" t="s">
        <v>1086</v>
      </c>
    </row>
    <row r="215" customFormat="false" ht="35.05" hidden="false" customHeight="false" outlineLevel="0" collapsed="false">
      <c r="A215" s="15" t="s">
        <v>125</v>
      </c>
      <c r="B215" s="16" t="s">
        <v>176</v>
      </c>
      <c r="C215" s="16" t="s">
        <v>619</v>
      </c>
      <c r="D215" s="15" t="s">
        <v>166</v>
      </c>
      <c r="E215" s="16" t="s">
        <v>823</v>
      </c>
      <c r="F215" s="15" t="n">
        <v>4</v>
      </c>
      <c r="G215" s="16" t="s">
        <v>17</v>
      </c>
      <c r="H215" s="15" t="s">
        <v>627</v>
      </c>
      <c r="I215" s="16" t="s">
        <v>1082</v>
      </c>
      <c r="J215" s="16" t="s">
        <v>1087</v>
      </c>
    </row>
    <row r="216" customFormat="false" ht="35.05" hidden="false" customHeight="false" outlineLevel="0" collapsed="false">
      <c r="A216" s="15" t="s">
        <v>125</v>
      </c>
      <c r="B216" s="16" t="s">
        <v>176</v>
      </c>
      <c r="C216" s="16" t="s">
        <v>619</v>
      </c>
      <c r="D216" s="15" t="s">
        <v>179</v>
      </c>
      <c r="E216" s="16" t="s">
        <v>693</v>
      </c>
      <c r="F216" s="15" t="n">
        <v>6</v>
      </c>
      <c r="G216" s="16" t="s">
        <v>17</v>
      </c>
      <c r="H216" s="15" t="s">
        <v>654</v>
      </c>
      <c r="I216" s="16" t="s">
        <v>1082</v>
      </c>
      <c r="J216" s="16" t="s">
        <v>1088</v>
      </c>
    </row>
    <row r="217" customFormat="false" ht="35.05" hidden="false" customHeight="false" outlineLevel="0" collapsed="false">
      <c r="A217" s="15" t="s">
        <v>125</v>
      </c>
      <c r="B217" s="16" t="s">
        <v>176</v>
      </c>
      <c r="C217" s="16" t="s">
        <v>619</v>
      </c>
      <c r="D217" s="15" t="s">
        <v>605</v>
      </c>
      <c r="E217" s="16" t="s">
        <v>1042</v>
      </c>
      <c r="F217" s="15" t="n">
        <v>1</v>
      </c>
      <c r="G217" s="16" t="s">
        <v>17</v>
      </c>
      <c r="H217" s="15" t="s">
        <v>621</v>
      </c>
      <c r="I217" s="16" t="s">
        <v>1082</v>
      </c>
      <c r="J217" s="16" t="s">
        <v>1089</v>
      </c>
    </row>
    <row r="218" customFormat="false" ht="35.05" hidden="false" customHeight="false" outlineLevel="0" collapsed="false">
      <c r="A218" s="15" t="s">
        <v>125</v>
      </c>
      <c r="B218" s="16" t="s">
        <v>180</v>
      </c>
      <c r="C218" s="16" t="s">
        <v>619</v>
      </c>
      <c r="D218" s="15" t="s">
        <v>568</v>
      </c>
      <c r="E218" s="16" t="s">
        <v>814</v>
      </c>
      <c r="F218" s="15" t="n">
        <v>1</v>
      </c>
      <c r="G218" s="16" t="s">
        <v>17</v>
      </c>
      <c r="H218" s="15" t="s">
        <v>621</v>
      </c>
      <c r="I218" s="16" t="s">
        <v>1090</v>
      </c>
      <c r="J218" s="16" t="s">
        <v>1091</v>
      </c>
    </row>
    <row r="219" customFormat="false" ht="35.05" hidden="false" customHeight="false" outlineLevel="0" collapsed="false">
      <c r="A219" s="15" t="s">
        <v>125</v>
      </c>
      <c r="B219" s="16" t="s">
        <v>180</v>
      </c>
      <c r="C219" s="16" t="s">
        <v>619</v>
      </c>
      <c r="D219" s="15" t="s">
        <v>166</v>
      </c>
      <c r="E219" s="16" t="s">
        <v>823</v>
      </c>
      <c r="F219" s="15" t="n">
        <v>1</v>
      </c>
      <c r="G219" s="16" t="s">
        <v>17</v>
      </c>
      <c r="H219" s="15" t="s">
        <v>621</v>
      </c>
      <c r="I219" s="16" t="s">
        <v>1092</v>
      </c>
      <c r="J219" s="16" t="s">
        <v>1093</v>
      </c>
    </row>
    <row r="220" customFormat="false" ht="35.05" hidden="false" customHeight="false" outlineLevel="0" collapsed="false">
      <c r="A220" s="15" t="s">
        <v>125</v>
      </c>
      <c r="B220" s="16" t="s">
        <v>180</v>
      </c>
      <c r="C220" s="16" t="s">
        <v>1094</v>
      </c>
      <c r="D220" s="15" t="s">
        <v>568</v>
      </c>
      <c r="E220" s="16" t="s">
        <v>814</v>
      </c>
      <c r="F220" s="15" t="n">
        <v>4</v>
      </c>
      <c r="G220" s="16" t="s">
        <v>17</v>
      </c>
      <c r="H220" s="15" t="s">
        <v>627</v>
      </c>
      <c r="I220" s="16" t="s">
        <v>1095</v>
      </c>
      <c r="J220" s="16" t="s">
        <v>1096</v>
      </c>
    </row>
    <row r="221" customFormat="false" ht="35.05" hidden="false" customHeight="false" outlineLevel="0" collapsed="false">
      <c r="A221" s="15" t="s">
        <v>125</v>
      </c>
      <c r="B221" s="16" t="s">
        <v>180</v>
      </c>
      <c r="C221" s="16" t="s">
        <v>1094</v>
      </c>
      <c r="D221" s="15" t="s">
        <v>569</v>
      </c>
      <c r="E221" s="16" t="s">
        <v>883</v>
      </c>
      <c r="F221" s="15" t="n">
        <v>1</v>
      </c>
      <c r="G221" s="16" t="s">
        <v>17</v>
      </c>
      <c r="H221" s="15" t="s">
        <v>621</v>
      </c>
      <c r="I221" s="16" t="s">
        <v>1097</v>
      </c>
      <c r="J221" s="16" t="s">
        <v>1098</v>
      </c>
    </row>
    <row r="222" customFormat="false" ht="35.05" hidden="false" customHeight="false" outlineLevel="0" collapsed="false">
      <c r="A222" s="15" t="s">
        <v>125</v>
      </c>
      <c r="B222" s="16" t="s">
        <v>180</v>
      </c>
      <c r="C222" s="16" t="s">
        <v>1099</v>
      </c>
      <c r="D222" s="15" t="s">
        <v>568</v>
      </c>
      <c r="E222" s="16" t="s">
        <v>814</v>
      </c>
      <c r="F222" s="15" t="n">
        <v>14</v>
      </c>
      <c r="G222" s="16" t="s">
        <v>1100</v>
      </c>
      <c r="H222" s="15" t="s">
        <v>654</v>
      </c>
      <c r="I222" s="16" t="s">
        <v>1101</v>
      </c>
      <c r="J222" s="16" t="s">
        <v>1102</v>
      </c>
    </row>
    <row r="223" customFormat="false" ht="35.05" hidden="false" customHeight="false" outlineLevel="0" collapsed="false">
      <c r="A223" s="15" t="s">
        <v>125</v>
      </c>
      <c r="B223" s="16" t="s">
        <v>180</v>
      </c>
      <c r="C223" s="16" t="s">
        <v>1099</v>
      </c>
      <c r="D223" s="15" t="s">
        <v>599</v>
      </c>
      <c r="E223" s="16" t="s">
        <v>854</v>
      </c>
      <c r="F223" s="15" t="n">
        <v>3</v>
      </c>
      <c r="G223" s="16" t="s">
        <v>1103</v>
      </c>
      <c r="H223" s="15" t="s">
        <v>654</v>
      </c>
      <c r="I223" s="16" t="s">
        <v>1101</v>
      </c>
      <c r="J223" s="16" t="s">
        <v>1104</v>
      </c>
    </row>
    <row r="224" customFormat="false" ht="35.05" hidden="false" customHeight="false" outlineLevel="0" collapsed="false">
      <c r="A224" s="15" t="s">
        <v>125</v>
      </c>
      <c r="B224" s="16" t="s">
        <v>180</v>
      </c>
      <c r="C224" s="16" t="s">
        <v>1099</v>
      </c>
      <c r="D224" s="15" t="s">
        <v>166</v>
      </c>
      <c r="E224" s="16" t="s">
        <v>823</v>
      </c>
      <c r="F224" s="15" t="n">
        <v>1</v>
      </c>
      <c r="G224" s="16" t="s">
        <v>17</v>
      </c>
      <c r="H224" s="15" t="s">
        <v>621</v>
      </c>
      <c r="I224" s="16" t="s">
        <v>1101</v>
      </c>
      <c r="J224" s="16" t="s">
        <v>1105</v>
      </c>
    </row>
    <row r="225" customFormat="false" ht="35.05" hidden="false" customHeight="false" outlineLevel="0" collapsed="false">
      <c r="A225" s="15" t="s">
        <v>125</v>
      </c>
      <c r="B225" s="16" t="s">
        <v>186</v>
      </c>
      <c r="C225" s="16" t="s">
        <v>619</v>
      </c>
      <c r="D225" s="15" t="s">
        <v>42</v>
      </c>
      <c r="E225" s="16" t="s">
        <v>701</v>
      </c>
      <c r="F225" s="15" t="n">
        <v>1</v>
      </c>
      <c r="G225" s="16" t="s">
        <v>17</v>
      </c>
      <c r="H225" s="15" t="s">
        <v>621</v>
      </c>
      <c r="I225" s="16" t="s">
        <v>1106</v>
      </c>
      <c r="J225" s="16" t="s">
        <v>1107</v>
      </c>
    </row>
    <row r="226" customFormat="false" ht="35.05" hidden="false" customHeight="false" outlineLevel="0" collapsed="false">
      <c r="A226" s="15" t="s">
        <v>125</v>
      </c>
      <c r="B226" s="16" t="s">
        <v>186</v>
      </c>
      <c r="C226" s="16" t="s">
        <v>619</v>
      </c>
      <c r="D226" s="15" t="s">
        <v>48</v>
      </c>
      <c r="E226" s="16" t="s">
        <v>751</v>
      </c>
      <c r="F226" s="15" t="n">
        <v>1</v>
      </c>
      <c r="G226" s="16" t="s">
        <v>17</v>
      </c>
      <c r="H226" s="15" t="s">
        <v>621</v>
      </c>
      <c r="I226" s="16" t="s">
        <v>1106</v>
      </c>
      <c r="J226" s="16" t="s">
        <v>1108</v>
      </c>
    </row>
    <row r="227" customFormat="false" ht="35.05" hidden="false" customHeight="false" outlineLevel="0" collapsed="false">
      <c r="A227" s="15" t="s">
        <v>125</v>
      </c>
      <c r="B227" s="16" t="s">
        <v>186</v>
      </c>
      <c r="C227" s="16" t="s">
        <v>619</v>
      </c>
      <c r="D227" s="15" t="s">
        <v>604</v>
      </c>
      <c r="E227" s="16" t="s">
        <v>1050</v>
      </c>
      <c r="F227" s="15" t="n">
        <v>1</v>
      </c>
      <c r="G227" s="16" t="s">
        <v>17</v>
      </c>
      <c r="H227" s="15" t="s">
        <v>621</v>
      </c>
      <c r="I227" s="16" t="s">
        <v>1106</v>
      </c>
      <c r="J227" s="16" t="s">
        <v>1109</v>
      </c>
    </row>
    <row r="228" customFormat="false" ht="35.05" hidden="false" customHeight="false" outlineLevel="0" collapsed="false">
      <c r="A228" s="15" t="s">
        <v>125</v>
      </c>
      <c r="B228" s="16" t="s">
        <v>186</v>
      </c>
      <c r="C228" s="16" t="s">
        <v>619</v>
      </c>
      <c r="D228" s="15" t="s">
        <v>179</v>
      </c>
      <c r="E228" s="16" t="s">
        <v>693</v>
      </c>
      <c r="F228" s="15" t="n">
        <v>1</v>
      </c>
      <c r="G228" s="16" t="s">
        <v>17</v>
      </c>
      <c r="H228" s="15" t="s">
        <v>621</v>
      </c>
      <c r="I228" s="16" t="s">
        <v>1106</v>
      </c>
      <c r="J228" s="16" t="s">
        <v>1110</v>
      </c>
    </row>
    <row r="229" customFormat="false" ht="35.05" hidden="false" customHeight="false" outlineLevel="0" collapsed="false">
      <c r="A229" s="15" t="s">
        <v>189</v>
      </c>
      <c r="B229" s="16" t="s">
        <v>190</v>
      </c>
      <c r="C229" s="16" t="s">
        <v>619</v>
      </c>
      <c r="D229" s="15" t="s">
        <v>577</v>
      </c>
      <c r="E229" s="16" t="s">
        <v>1111</v>
      </c>
      <c r="F229" s="15" t="n">
        <v>2</v>
      </c>
      <c r="G229" s="16" t="s">
        <v>1112</v>
      </c>
      <c r="H229" s="15" t="s">
        <v>654</v>
      </c>
      <c r="I229" s="16" t="s">
        <v>1113</v>
      </c>
      <c r="J229" s="16" t="s">
        <v>1114</v>
      </c>
    </row>
    <row r="230" customFormat="false" ht="35.05" hidden="false" customHeight="false" outlineLevel="0" collapsed="false">
      <c r="A230" s="15" t="s">
        <v>189</v>
      </c>
      <c r="B230" s="16" t="s">
        <v>190</v>
      </c>
      <c r="C230" s="16" t="s">
        <v>619</v>
      </c>
      <c r="D230" s="15" t="s">
        <v>451</v>
      </c>
      <c r="E230" s="16" t="s">
        <v>672</v>
      </c>
      <c r="F230" s="15" t="n">
        <v>2</v>
      </c>
      <c r="G230" s="16" t="s">
        <v>1115</v>
      </c>
      <c r="H230" s="15" t="s">
        <v>654</v>
      </c>
      <c r="I230" s="16" t="s">
        <v>1116</v>
      </c>
      <c r="J230" s="16" t="s">
        <v>1117</v>
      </c>
    </row>
    <row r="231" customFormat="false" ht="35.05" hidden="false" customHeight="false" outlineLevel="0" collapsed="false">
      <c r="A231" s="15" t="s">
        <v>189</v>
      </c>
      <c r="B231" s="16" t="s">
        <v>193</v>
      </c>
      <c r="C231" s="16" t="s">
        <v>619</v>
      </c>
      <c r="D231" s="15" t="s">
        <v>562</v>
      </c>
      <c r="E231" s="16" t="s">
        <v>716</v>
      </c>
      <c r="F231" s="15" t="n">
        <v>1</v>
      </c>
      <c r="G231" s="16" t="s">
        <v>17</v>
      </c>
      <c r="H231" s="15" t="s">
        <v>621</v>
      </c>
      <c r="I231" s="16" t="s">
        <v>1118</v>
      </c>
      <c r="J231" s="16" t="s">
        <v>1119</v>
      </c>
    </row>
    <row r="232" customFormat="false" ht="35.05" hidden="false" customHeight="false" outlineLevel="0" collapsed="false">
      <c r="A232" s="15" t="s">
        <v>189</v>
      </c>
      <c r="B232" s="16" t="s">
        <v>193</v>
      </c>
      <c r="C232" s="16" t="s">
        <v>619</v>
      </c>
      <c r="D232" s="15" t="s">
        <v>196</v>
      </c>
      <c r="E232" s="16" t="s">
        <v>624</v>
      </c>
      <c r="F232" s="15" t="n">
        <v>8</v>
      </c>
      <c r="G232" s="16" t="s">
        <v>1120</v>
      </c>
      <c r="H232" s="15" t="s">
        <v>654</v>
      </c>
      <c r="I232" s="16" t="s">
        <v>193</v>
      </c>
      <c r="J232" s="16" t="s">
        <v>1121</v>
      </c>
    </row>
    <row r="233" customFormat="false" ht="35.05" hidden="false" customHeight="false" outlineLevel="0" collapsed="false">
      <c r="A233" s="15" t="s">
        <v>189</v>
      </c>
      <c r="B233" s="16" t="s">
        <v>193</v>
      </c>
      <c r="C233" s="16" t="s">
        <v>619</v>
      </c>
      <c r="D233" s="15" t="s">
        <v>42</v>
      </c>
      <c r="E233" s="16" t="s">
        <v>701</v>
      </c>
      <c r="F233" s="15" t="n">
        <v>2</v>
      </c>
      <c r="G233" s="16" t="s">
        <v>17</v>
      </c>
      <c r="H233" s="15" t="s">
        <v>627</v>
      </c>
      <c r="I233" s="16" t="s">
        <v>193</v>
      </c>
      <c r="J233" s="16" t="s">
        <v>1122</v>
      </c>
    </row>
    <row r="234" customFormat="false" ht="35.05" hidden="false" customHeight="false" outlineLevel="0" collapsed="false">
      <c r="A234" s="15" t="s">
        <v>189</v>
      </c>
      <c r="B234" s="16" t="s">
        <v>193</v>
      </c>
      <c r="C234" s="16" t="s">
        <v>619</v>
      </c>
      <c r="D234" s="15" t="s">
        <v>220</v>
      </c>
      <c r="E234" s="16" t="s">
        <v>646</v>
      </c>
      <c r="F234" s="15" t="n">
        <v>2</v>
      </c>
      <c r="G234" s="16" t="s">
        <v>17</v>
      </c>
      <c r="H234" s="15" t="s">
        <v>627</v>
      </c>
      <c r="I234" s="16" t="s">
        <v>193</v>
      </c>
      <c r="J234" s="16" t="s">
        <v>1123</v>
      </c>
    </row>
    <row r="235" customFormat="false" ht="35.05" hidden="false" customHeight="false" outlineLevel="0" collapsed="false">
      <c r="A235" s="15" t="s">
        <v>189</v>
      </c>
      <c r="B235" s="16" t="s">
        <v>193</v>
      </c>
      <c r="C235" s="16" t="s">
        <v>619</v>
      </c>
      <c r="D235" s="15" t="s">
        <v>570</v>
      </c>
      <c r="E235" s="16" t="s">
        <v>730</v>
      </c>
      <c r="F235" s="15" t="n">
        <v>2</v>
      </c>
      <c r="G235" s="16" t="s">
        <v>17</v>
      </c>
      <c r="H235" s="15" t="s">
        <v>627</v>
      </c>
      <c r="I235" s="16" t="s">
        <v>193</v>
      </c>
      <c r="J235" s="16" t="s">
        <v>1124</v>
      </c>
    </row>
    <row r="236" customFormat="false" ht="35.05" hidden="false" customHeight="false" outlineLevel="0" collapsed="false">
      <c r="A236" s="15" t="s">
        <v>189</v>
      </c>
      <c r="B236" s="16" t="s">
        <v>193</v>
      </c>
      <c r="C236" s="16" t="s">
        <v>619</v>
      </c>
      <c r="D236" s="15" t="s">
        <v>294</v>
      </c>
      <c r="E236" s="16" t="s">
        <v>640</v>
      </c>
      <c r="F236" s="15" t="n">
        <v>1</v>
      </c>
      <c r="G236" s="16" t="s">
        <v>17</v>
      </c>
      <c r="H236" s="15" t="s">
        <v>621</v>
      </c>
      <c r="I236" s="16" t="s">
        <v>193</v>
      </c>
      <c r="J236" s="16" t="s">
        <v>1125</v>
      </c>
    </row>
    <row r="237" customFormat="false" ht="35.05" hidden="false" customHeight="false" outlineLevel="0" collapsed="false">
      <c r="A237" s="15" t="s">
        <v>189</v>
      </c>
      <c r="B237" s="16" t="s">
        <v>193</v>
      </c>
      <c r="C237" s="16" t="s">
        <v>619</v>
      </c>
      <c r="D237" s="15" t="s">
        <v>312</v>
      </c>
      <c r="E237" s="16" t="s">
        <v>1126</v>
      </c>
      <c r="F237" s="15" t="n">
        <v>1</v>
      </c>
      <c r="G237" s="16" t="s">
        <v>17</v>
      </c>
      <c r="H237" s="15" t="s">
        <v>621</v>
      </c>
      <c r="I237" s="16" t="s">
        <v>193</v>
      </c>
      <c r="J237" s="16" t="s">
        <v>1127</v>
      </c>
    </row>
    <row r="238" customFormat="false" ht="35.05" hidden="false" customHeight="false" outlineLevel="0" collapsed="false">
      <c r="A238" s="15" t="s">
        <v>189</v>
      </c>
      <c r="B238" s="16" t="s">
        <v>193</v>
      </c>
      <c r="C238" s="16" t="s">
        <v>619</v>
      </c>
      <c r="D238" s="15" t="s">
        <v>575</v>
      </c>
      <c r="E238" s="16" t="s">
        <v>950</v>
      </c>
      <c r="F238" s="15" t="n">
        <v>2</v>
      </c>
      <c r="G238" s="16" t="s">
        <v>17</v>
      </c>
      <c r="H238" s="15" t="s">
        <v>627</v>
      </c>
      <c r="I238" s="16" t="s">
        <v>193</v>
      </c>
      <c r="J238" s="16" t="s">
        <v>1128</v>
      </c>
    </row>
    <row r="239" customFormat="false" ht="35.05" hidden="false" customHeight="false" outlineLevel="0" collapsed="false">
      <c r="A239" s="15" t="s">
        <v>189</v>
      </c>
      <c r="B239" s="16" t="s">
        <v>193</v>
      </c>
      <c r="C239" s="16" t="s">
        <v>619</v>
      </c>
      <c r="D239" s="15" t="s">
        <v>576</v>
      </c>
      <c r="E239" s="16" t="s">
        <v>953</v>
      </c>
      <c r="F239" s="15" t="n">
        <v>2</v>
      </c>
      <c r="G239" s="16" t="s">
        <v>17</v>
      </c>
      <c r="H239" s="15" t="s">
        <v>627</v>
      </c>
      <c r="I239" s="16" t="s">
        <v>193</v>
      </c>
      <c r="J239" s="16" t="s">
        <v>1129</v>
      </c>
    </row>
    <row r="240" customFormat="false" ht="35.05" hidden="false" customHeight="false" outlineLevel="0" collapsed="false">
      <c r="A240" s="15" t="s">
        <v>189</v>
      </c>
      <c r="B240" s="16" t="s">
        <v>193</v>
      </c>
      <c r="C240" s="16" t="s">
        <v>619</v>
      </c>
      <c r="D240" s="15" t="s">
        <v>577</v>
      </c>
      <c r="E240" s="16" t="s">
        <v>1111</v>
      </c>
      <c r="F240" s="15" t="n">
        <v>2</v>
      </c>
      <c r="G240" s="16" t="s">
        <v>17</v>
      </c>
      <c r="H240" s="15" t="s">
        <v>627</v>
      </c>
      <c r="I240" s="16" t="s">
        <v>193</v>
      </c>
      <c r="J240" s="16" t="s">
        <v>1130</v>
      </c>
    </row>
    <row r="241" customFormat="false" ht="35.05" hidden="false" customHeight="false" outlineLevel="0" collapsed="false">
      <c r="A241" s="15" t="s">
        <v>189</v>
      </c>
      <c r="B241" s="16" t="s">
        <v>193</v>
      </c>
      <c r="C241" s="16" t="s">
        <v>619</v>
      </c>
      <c r="D241" s="15" t="s">
        <v>584</v>
      </c>
      <c r="E241" s="16" t="s">
        <v>1131</v>
      </c>
      <c r="F241" s="15" t="n">
        <v>1</v>
      </c>
      <c r="G241" s="16" t="s">
        <v>17</v>
      </c>
      <c r="H241" s="15" t="s">
        <v>621</v>
      </c>
      <c r="I241" s="16" t="s">
        <v>193</v>
      </c>
      <c r="J241" s="16" t="s">
        <v>1132</v>
      </c>
    </row>
    <row r="242" customFormat="false" ht="35.05" hidden="false" customHeight="false" outlineLevel="0" collapsed="false">
      <c r="A242" s="15" t="s">
        <v>189</v>
      </c>
      <c r="B242" s="16" t="s">
        <v>193</v>
      </c>
      <c r="C242" s="16" t="s">
        <v>619</v>
      </c>
      <c r="D242" s="15" t="s">
        <v>477</v>
      </c>
      <c r="E242" s="16" t="s">
        <v>1133</v>
      </c>
      <c r="F242" s="15" t="n">
        <v>1</v>
      </c>
      <c r="G242" s="16" t="s">
        <v>17</v>
      </c>
      <c r="H242" s="15" t="s">
        <v>621</v>
      </c>
      <c r="I242" s="16" t="s">
        <v>193</v>
      </c>
      <c r="J242" s="16" t="s">
        <v>1134</v>
      </c>
    </row>
    <row r="243" customFormat="false" ht="35.05" hidden="false" customHeight="false" outlineLevel="0" collapsed="false">
      <c r="A243" s="15" t="s">
        <v>189</v>
      </c>
      <c r="B243" s="16" t="s">
        <v>197</v>
      </c>
      <c r="C243" s="16" t="s">
        <v>619</v>
      </c>
      <c r="D243" s="15" t="s">
        <v>562</v>
      </c>
      <c r="E243" s="16" t="s">
        <v>716</v>
      </c>
      <c r="F243" s="15" t="n">
        <v>1</v>
      </c>
      <c r="G243" s="16" t="s">
        <v>17</v>
      </c>
      <c r="H243" s="15" t="s">
        <v>621</v>
      </c>
      <c r="I243" s="16" t="s">
        <v>1135</v>
      </c>
      <c r="J243" s="16" t="s">
        <v>1136</v>
      </c>
    </row>
    <row r="244" customFormat="false" ht="35.05" hidden="false" customHeight="false" outlineLevel="0" collapsed="false">
      <c r="A244" s="15" t="s">
        <v>189</v>
      </c>
      <c r="B244" s="16" t="s">
        <v>197</v>
      </c>
      <c r="C244" s="16" t="s">
        <v>619</v>
      </c>
      <c r="D244" s="15" t="s">
        <v>578</v>
      </c>
      <c r="E244" s="16" t="s">
        <v>666</v>
      </c>
      <c r="F244" s="15" t="n">
        <v>1</v>
      </c>
      <c r="G244" s="16" t="s">
        <v>17</v>
      </c>
      <c r="H244" s="15" t="s">
        <v>621</v>
      </c>
      <c r="I244" s="16" t="s">
        <v>1135</v>
      </c>
      <c r="J244" s="16" t="s">
        <v>1137</v>
      </c>
    </row>
    <row r="245" customFormat="false" ht="35.05" hidden="false" customHeight="false" outlineLevel="0" collapsed="false">
      <c r="A245" s="15" t="s">
        <v>189</v>
      </c>
      <c r="B245" s="16" t="s">
        <v>200</v>
      </c>
      <c r="C245" s="16" t="s">
        <v>619</v>
      </c>
      <c r="D245" s="15" t="s">
        <v>562</v>
      </c>
      <c r="E245" s="16" t="s">
        <v>716</v>
      </c>
      <c r="F245" s="15" t="n">
        <v>3</v>
      </c>
      <c r="G245" s="16" t="s">
        <v>17</v>
      </c>
      <c r="H245" s="15" t="s">
        <v>627</v>
      </c>
      <c r="I245" s="16" t="s">
        <v>1138</v>
      </c>
      <c r="J245" s="16" t="s">
        <v>1139</v>
      </c>
    </row>
    <row r="246" customFormat="false" ht="35.05" hidden="false" customHeight="false" outlineLevel="0" collapsed="false">
      <c r="A246" s="15" t="s">
        <v>189</v>
      </c>
      <c r="B246" s="16" t="s">
        <v>200</v>
      </c>
      <c r="C246" s="16" t="s">
        <v>619</v>
      </c>
      <c r="D246" s="15" t="s">
        <v>100</v>
      </c>
      <c r="E246" s="16" t="s">
        <v>878</v>
      </c>
      <c r="F246" s="15" t="n">
        <v>1</v>
      </c>
      <c r="G246" s="16" t="s">
        <v>17</v>
      </c>
      <c r="H246" s="15" t="s">
        <v>621</v>
      </c>
      <c r="I246" s="16" t="s">
        <v>1140</v>
      </c>
      <c r="J246" s="16" t="s">
        <v>1141</v>
      </c>
    </row>
    <row r="247" customFormat="false" ht="35.05" hidden="false" customHeight="false" outlineLevel="0" collapsed="false">
      <c r="A247" s="15" t="s">
        <v>189</v>
      </c>
      <c r="B247" s="16" t="s">
        <v>203</v>
      </c>
      <c r="C247" s="16" t="s">
        <v>619</v>
      </c>
      <c r="D247" s="15" t="s">
        <v>398</v>
      </c>
      <c r="E247" s="16" t="s">
        <v>641</v>
      </c>
      <c r="F247" s="15" t="n">
        <v>1</v>
      </c>
      <c r="G247" s="16" t="s">
        <v>17</v>
      </c>
      <c r="H247" s="15" t="s">
        <v>621</v>
      </c>
      <c r="I247" s="16" t="s">
        <v>1142</v>
      </c>
      <c r="J247" s="16" t="s">
        <v>1143</v>
      </c>
    </row>
    <row r="248" customFormat="false" ht="23.85" hidden="false" customHeight="false" outlineLevel="0" collapsed="false">
      <c r="A248" s="15" t="s">
        <v>189</v>
      </c>
      <c r="B248" s="16" t="s">
        <v>203</v>
      </c>
      <c r="C248" s="16" t="s">
        <v>619</v>
      </c>
      <c r="D248" s="15" t="s">
        <v>42</v>
      </c>
      <c r="E248" s="16" t="s">
        <v>701</v>
      </c>
      <c r="F248" s="15" t="n">
        <v>10</v>
      </c>
      <c r="G248" s="16" t="s">
        <v>17</v>
      </c>
      <c r="H248" s="15" t="s">
        <v>654</v>
      </c>
      <c r="I248" s="16" t="s">
        <v>1144</v>
      </c>
      <c r="J248" s="16" t="s">
        <v>1145</v>
      </c>
    </row>
    <row r="249" customFormat="false" ht="35.05" hidden="false" customHeight="false" outlineLevel="0" collapsed="false">
      <c r="A249" s="15" t="s">
        <v>189</v>
      </c>
      <c r="B249" s="16" t="s">
        <v>203</v>
      </c>
      <c r="C249" s="16" t="s">
        <v>619</v>
      </c>
      <c r="D249" s="15" t="s">
        <v>220</v>
      </c>
      <c r="E249" s="16" t="s">
        <v>646</v>
      </c>
      <c r="F249" s="15" t="n">
        <v>1</v>
      </c>
      <c r="G249" s="16" t="s">
        <v>17</v>
      </c>
      <c r="H249" s="15" t="s">
        <v>621</v>
      </c>
      <c r="I249" s="16" t="s">
        <v>1146</v>
      </c>
      <c r="J249" s="16" t="s">
        <v>1147</v>
      </c>
    </row>
    <row r="250" customFormat="false" ht="35.05" hidden="false" customHeight="false" outlineLevel="0" collapsed="false">
      <c r="A250" s="15" t="s">
        <v>189</v>
      </c>
      <c r="B250" s="16" t="s">
        <v>203</v>
      </c>
      <c r="C250" s="16" t="s">
        <v>619</v>
      </c>
      <c r="D250" s="15" t="s">
        <v>38</v>
      </c>
      <c r="E250" s="16" t="s">
        <v>696</v>
      </c>
      <c r="F250" s="15" t="n">
        <v>1</v>
      </c>
      <c r="G250" s="16" t="s">
        <v>17</v>
      </c>
      <c r="H250" s="15" t="s">
        <v>621</v>
      </c>
      <c r="I250" s="16" t="s">
        <v>1148</v>
      </c>
      <c r="J250" s="16" t="s">
        <v>1149</v>
      </c>
    </row>
    <row r="251" customFormat="false" ht="35.05" hidden="false" customHeight="false" outlineLevel="0" collapsed="false">
      <c r="A251" s="15" t="s">
        <v>189</v>
      </c>
      <c r="B251" s="16" t="s">
        <v>203</v>
      </c>
      <c r="C251" s="16" t="s">
        <v>619</v>
      </c>
      <c r="D251" s="15" t="s">
        <v>571</v>
      </c>
      <c r="E251" s="16" t="s">
        <v>637</v>
      </c>
      <c r="F251" s="15" t="n">
        <v>1</v>
      </c>
      <c r="G251" s="16" t="s">
        <v>17</v>
      </c>
      <c r="H251" s="15" t="s">
        <v>621</v>
      </c>
      <c r="I251" s="16" t="s">
        <v>1150</v>
      </c>
      <c r="J251" s="16" t="s">
        <v>1151</v>
      </c>
    </row>
    <row r="252" customFormat="false" ht="35.05" hidden="false" customHeight="false" outlineLevel="0" collapsed="false">
      <c r="A252" s="15" t="s">
        <v>189</v>
      </c>
      <c r="B252" s="16" t="s">
        <v>203</v>
      </c>
      <c r="C252" s="16" t="s">
        <v>619</v>
      </c>
      <c r="D252" s="15" t="s">
        <v>573</v>
      </c>
      <c r="E252" s="16" t="s">
        <v>923</v>
      </c>
      <c r="F252" s="15" t="n">
        <v>2</v>
      </c>
      <c r="G252" s="16" t="s">
        <v>17</v>
      </c>
      <c r="H252" s="15" t="s">
        <v>627</v>
      </c>
      <c r="I252" s="16" t="s">
        <v>1152</v>
      </c>
      <c r="J252" s="16" t="s">
        <v>1153</v>
      </c>
    </row>
    <row r="253" customFormat="false" ht="35.05" hidden="false" customHeight="false" outlineLevel="0" collapsed="false">
      <c r="A253" s="15" t="s">
        <v>189</v>
      </c>
      <c r="B253" s="16" t="s">
        <v>203</v>
      </c>
      <c r="C253" s="16" t="s">
        <v>619</v>
      </c>
      <c r="D253" s="15" t="s">
        <v>577</v>
      </c>
      <c r="E253" s="16" t="s">
        <v>1111</v>
      </c>
      <c r="F253" s="15" t="n">
        <v>1</v>
      </c>
      <c r="G253" s="16" t="s">
        <v>1154</v>
      </c>
      <c r="H253" s="15" t="s">
        <v>654</v>
      </c>
      <c r="I253" s="16" t="s">
        <v>1148</v>
      </c>
      <c r="J253" s="16" t="s">
        <v>1155</v>
      </c>
    </row>
    <row r="254" customFormat="false" ht="35.05" hidden="false" customHeight="false" outlineLevel="0" collapsed="false">
      <c r="A254" s="15" t="s">
        <v>189</v>
      </c>
      <c r="B254" s="16" t="s">
        <v>203</v>
      </c>
      <c r="C254" s="16" t="s">
        <v>619</v>
      </c>
      <c r="D254" s="15" t="s">
        <v>578</v>
      </c>
      <c r="E254" s="16" t="s">
        <v>666</v>
      </c>
      <c r="F254" s="15" t="n">
        <v>38</v>
      </c>
      <c r="G254" s="16" t="s">
        <v>1156</v>
      </c>
      <c r="H254" s="15" t="s">
        <v>654</v>
      </c>
      <c r="I254" s="16" t="s">
        <v>1157</v>
      </c>
      <c r="J254" s="16" t="s">
        <v>1158</v>
      </c>
    </row>
    <row r="255" customFormat="false" ht="35.05" hidden="false" customHeight="false" outlineLevel="0" collapsed="false">
      <c r="A255" s="15" t="s">
        <v>189</v>
      </c>
      <c r="B255" s="16" t="s">
        <v>203</v>
      </c>
      <c r="C255" s="16" t="s">
        <v>207</v>
      </c>
      <c r="D255" s="15" t="s">
        <v>42</v>
      </c>
      <c r="E255" s="16" t="s">
        <v>701</v>
      </c>
      <c r="F255" s="15" t="n">
        <v>2</v>
      </c>
      <c r="G255" s="16" t="s">
        <v>17</v>
      </c>
      <c r="H255" s="15" t="s">
        <v>627</v>
      </c>
      <c r="I255" s="16" t="s">
        <v>1159</v>
      </c>
      <c r="J255" s="16" t="s">
        <v>1160</v>
      </c>
    </row>
    <row r="256" customFormat="false" ht="35.05" hidden="false" customHeight="false" outlineLevel="0" collapsed="false">
      <c r="A256" s="15" t="s">
        <v>189</v>
      </c>
      <c r="B256" s="16" t="s">
        <v>203</v>
      </c>
      <c r="C256" s="16" t="s">
        <v>207</v>
      </c>
      <c r="D256" s="15" t="s">
        <v>578</v>
      </c>
      <c r="E256" s="16" t="s">
        <v>666</v>
      </c>
      <c r="F256" s="15" t="n">
        <v>1</v>
      </c>
      <c r="G256" s="16" t="s">
        <v>17</v>
      </c>
      <c r="H256" s="15" t="s">
        <v>621</v>
      </c>
      <c r="I256" s="16" t="s">
        <v>1161</v>
      </c>
      <c r="J256" s="16" t="s">
        <v>1162</v>
      </c>
    </row>
    <row r="257" customFormat="false" ht="35.05" hidden="false" customHeight="false" outlineLevel="0" collapsed="false">
      <c r="A257" s="15" t="s">
        <v>189</v>
      </c>
      <c r="B257" s="16" t="s">
        <v>208</v>
      </c>
      <c r="C257" s="16" t="s">
        <v>619</v>
      </c>
      <c r="D257" s="15" t="s">
        <v>398</v>
      </c>
      <c r="E257" s="16" t="s">
        <v>641</v>
      </c>
      <c r="F257" s="15" t="n">
        <v>1</v>
      </c>
      <c r="G257" s="16" t="s">
        <v>17</v>
      </c>
      <c r="H257" s="15" t="s">
        <v>621</v>
      </c>
      <c r="I257" s="16" t="s">
        <v>1163</v>
      </c>
      <c r="J257" s="16" t="s">
        <v>1164</v>
      </c>
    </row>
    <row r="258" customFormat="false" ht="35.05" hidden="false" customHeight="false" outlineLevel="0" collapsed="false">
      <c r="A258" s="15" t="s">
        <v>189</v>
      </c>
      <c r="B258" s="16" t="s">
        <v>208</v>
      </c>
      <c r="C258" s="16" t="s">
        <v>619</v>
      </c>
      <c r="D258" s="15" t="s">
        <v>42</v>
      </c>
      <c r="E258" s="16" t="s">
        <v>701</v>
      </c>
      <c r="F258" s="15" t="n">
        <v>9</v>
      </c>
      <c r="G258" s="16" t="s">
        <v>17</v>
      </c>
      <c r="H258" s="15" t="s">
        <v>654</v>
      </c>
      <c r="I258" s="16" t="s">
        <v>1165</v>
      </c>
      <c r="J258" s="16" t="s">
        <v>1166</v>
      </c>
    </row>
    <row r="259" customFormat="false" ht="35.05" hidden="false" customHeight="false" outlineLevel="0" collapsed="false">
      <c r="A259" s="15" t="s">
        <v>189</v>
      </c>
      <c r="B259" s="16" t="s">
        <v>208</v>
      </c>
      <c r="C259" s="16" t="s">
        <v>619</v>
      </c>
      <c r="D259" s="15" t="s">
        <v>48</v>
      </c>
      <c r="E259" s="16" t="s">
        <v>751</v>
      </c>
      <c r="F259" s="15" t="n">
        <v>4</v>
      </c>
      <c r="G259" s="16" t="s">
        <v>1167</v>
      </c>
      <c r="H259" s="15" t="s">
        <v>654</v>
      </c>
      <c r="I259" s="16" t="s">
        <v>1168</v>
      </c>
      <c r="J259" s="16" t="s">
        <v>1169</v>
      </c>
    </row>
    <row r="260" customFormat="false" ht="46.25" hidden="false" customHeight="false" outlineLevel="0" collapsed="false">
      <c r="A260" s="15" t="s">
        <v>189</v>
      </c>
      <c r="B260" s="16" t="s">
        <v>208</v>
      </c>
      <c r="C260" s="16" t="s">
        <v>619</v>
      </c>
      <c r="D260" s="15" t="s">
        <v>568</v>
      </c>
      <c r="E260" s="16" t="s">
        <v>814</v>
      </c>
      <c r="F260" s="15" t="n">
        <v>5</v>
      </c>
      <c r="G260" s="16" t="s">
        <v>17</v>
      </c>
      <c r="H260" s="15" t="s">
        <v>654</v>
      </c>
      <c r="I260" s="16" t="s">
        <v>1170</v>
      </c>
      <c r="J260" s="16" t="s">
        <v>1171</v>
      </c>
    </row>
    <row r="261" customFormat="false" ht="35.05" hidden="false" customHeight="false" outlineLevel="0" collapsed="false">
      <c r="A261" s="15" t="s">
        <v>189</v>
      </c>
      <c r="B261" s="16" t="s">
        <v>208</v>
      </c>
      <c r="C261" s="16" t="s">
        <v>619</v>
      </c>
      <c r="D261" s="15" t="s">
        <v>571</v>
      </c>
      <c r="E261" s="16" t="s">
        <v>637</v>
      </c>
      <c r="F261" s="15" t="n">
        <v>1</v>
      </c>
      <c r="G261" s="16" t="s">
        <v>17</v>
      </c>
      <c r="H261" s="15" t="s">
        <v>621</v>
      </c>
      <c r="I261" s="16" t="s">
        <v>1172</v>
      </c>
      <c r="J261" s="16" t="s">
        <v>1173</v>
      </c>
    </row>
    <row r="262" customFormat="false" ht="35.05" hidden="false" customHeight="false" outlineLevel="0" collapsed="false">
      <c r="A262" s="15" t="s">
        <v>189</v>
      </c>
      <c r="B262" s="16" t="s">
        <v>208</v>
      </c>
      <c r="C262" s="16" t="s">
        <v>619</v>
      </c>
      <c r="D262" s="15" t="s">
        <v>266</v>
      </c>
      <c r="E262" s="16" t="s">
        <v>685</v>
      </c>
      <c r="F262" s="15" t="n">
        <v>1</v>
      </c>
      <c r="G262" s="16" t="s">
        <v>17</v>
      </c>
      <c r="H262" s="15" t="s">
        <v>621</v>
      </c>
      <c r="I262" s="16" t="s">
        <v>1174</v>
      </c>
      <c r="J262" s="16" t="s">
        <v>1175</v>
      </c>
    </row>
    <row r="263" customFormat="false" ht="35.05" hidden="false" customHeight="false" outlineLevel="0" collapsed="false">
      <c r="A263" s="15" t="s">
        <v>189</v>
      </c>
      <c r="B263" s="16" t="s">
        <v>208</v>
      </c>
      <c r="C263" s="16" t="s">
        <v>619</v>
      </c>
      <c r="D263" s="15" t="s">
        <v>312</v>
      </c>
      <c r="E263" s="16" t="s">
        <v>1126</v>
      </c>
      <c r="F263" s="15" t="n">
        <v>3</v>
      </c>
      <c r="G263" s="16" t="s">
        <v>17</v>
      </c>
      <c r="H263" s="15" t="s">
        <v>627</v>
      </c>
      <c r="I263" s="16" t="s">
        <v>1165</v>
      </c>
      <c r="J263" s="16" t="s">
        <v>1176</v>
      </c>
    </row>
    <row r="264" customFormat="false" ht="35.05" hidden="false" customHeight="false" outlineLevel="0" collapsed="false">
      <c r="A264" s="15" t="s">
        <v>189</v>
      </c>
      <c r="B264" s="16" t="s">
        <v>208</v>
      </c>
      <c r="C264" s="16" t="s">
        <v>619</v>
      </c>
      <c r="D264" s="15" t="s">
        <v>580</v>
      </c>
      <c r="E264" s="16" t="s">
        <v>1177</v>
      </c>
      <c r="F264" s="15" t="n">
        <v>1</v>
      </c>
      <c r="G264" s="16" t="s">
        <v>17</v>
      </c>
      <c r="H264" s="15" t="s">
        <v>621</v>
      </c>
      <c r="I264" s="16" t="s">
        <v>1165</v>
      </c>
      <c r="J264" s="16" t="s">
        <v>1178</v>
      </c>
    </row>
    <row r="265" customFormat="false" ht="46.25" hidden="false" customHeight="false" outlineLevel="0" collapsed="false">
      <c r="A265" s="15" t="s">
        <v>189</v>
      </c>
      <c r="B265" s="16" t="s">
        <v>208</v>
      </c>
      <c r="C265" s="16" t="s">
        <v>619</v>
      </c>
      <c r="D265" s="15" t="s">
        <v>584</v>
      </c>
      <c r="E265" s="16" t="s">
        <v>1131</v>
      </c>
      <c r="F265" s="15" t="n">
        <v>3</v>
      </c>
      <c r="G265" s="16" t="s">
        <v>1179</v>
      </c>
      <c r="H265" s="15" t="s">
        <v>654</v>
      </c>
      <c r="I265" s="16" t="s">
        <v>1180</v>
      </c>
      <c r="J265" s="16" t="s">
        <v>1181</v>
      </c>
    </row>
    <row r="266" customFormat="false" ht="35.05" hidden="false" customHeight="false" outlineLevel="0" collapsed="false">
      <c r="A266" s="15" t="s">
        <v>189</v>
      </c>
      <c r="B266" s="16" t="s">
        <v>208</v>
      </c>
      <c r="C266" s="16" t="s">
        <v>619</v>
      </c>
      <c r="D266" s="15" t="s">
        <v>473</v>
      </c>
      <c r="E266" s="16" t="s">
        <v>775</v>
      </c>
      <c r="F266" s="15" t="n">
        <v>2</v>
      </c>
      <c r="G266" s="16" t="s">
        <v>17</v>
      </c>
      <c r="H266" s="15" t="s">
        <v>627</v>
      </c>
      <c r="I266" s="16" t="s">
        <v>1174</v>
      </c>
      <c r="J266" s="16" t="s">
        <v>1182</v>
      </c>
    </row>
    <row r="267" customFormat="false" ht="35.05" hidden="false" customHeight="false" outlineLevel="0" collapsed="false">
      <c r="A267" s="15" t="s">
        <v>189</v>
      </c>
      <c r="B267" s="16" t="s">
        <v>208</v>
      </c>
      <c r="C267" s="16" t="s">
        <v>619</v>
      </c>
      <c r="D267" s="15" t="s">
        <v>469</v>
      </c>
      <c r="E267" s="16" t="s">
        <v>1183</v>
      </c>
      <c r="F267" s="15" t="n">
        <v>1</v>
      </c>
      <c r="G267" s="16" t="s">
        <v>17</v>
      </c>
      <c r="H267" s="15" t="s">
        <v>621</v>
      </c>
      <c r="I267" s="16" t="s">
        <v>1165</v>
      </c>
      <c r="J267" s="16" t="s">
        <v>1184</v>
      </c>
    </row>
    <row r="268" customFormat="false" ht="35.05" hidden="false" customHeight="false" outlineLevel="0" collapsed="false">
      <c r="A268" s="15" t="s">
        <v>189</v>
      </c>
      <c r="B268" s="16" t="s">
        <v>208</v>
      </c>
      <c r="C268" s="16" t="s">
        <v>619</v>
      </c>
      <c r="D268" s="15" t="s">
        <v>477</v>
      </c>
      <c r="E268" s="16" t="s">
        <v>1133</v>
      </c>
      <c r="F268" s="15" t="n">
        <v>4</v>
      </c>
      <c r="G268" s="16" t="s">
        <v>17</v>
      </c>
      <c r="H268" s="15" t="s">
        <v>627</v>
      </c>
      <c r="I268" s="16" t="s">
        <v>1185</v>
      </c>
      <c r="J268" s="16" t="s">
        <v>1186</v>
      </c>
    </row>
    <row r="269" customFormat="false" ht="35.05" hidden="false" customHeight="false" outlineLevel="0" collapsed="false">
      <c r="A269" s="15" t="s">
        <v>189</v>
      </c>
      <c r="B269" s="16" t="s">
        <v>208</v>
      </c>
      <c r="C269" s="16" t="s">
        <v>619</v>
      </c>
      <c r="D269" s="15" t="s">
        <v>508</v>
      </c>
      <c r="E269" s="16" t="s">
        <v>831</v>
      </c>
      <c r="F269" s="15" t="n">
        <v>1</v>
      </c>
      <c r="G269" s="16" t="s">
        <v>17</v>
      </c>
      <c r="H269" s="15" t="s">
        <v>621</v>
      </c>
      <c r="I269" s="16" t="s">
        <v>1174</v>
      </c>
      <c r="J269" s="16" t="s">
        <v>1187</v>
      </c>
    </row>
    <row r="270" customFormat="false" ht="35.05" hidden="false" customHeight="false" outlineLevel="0" collapsed="false">
      <c r="A270" s="15" t="s">
        <v>189</v>
      </c>
      <c r="B270" s="16" t="s">
        <v>208</v>
      </c>
      <c r="C270" s="16" t="s">
        <v>619</v>
      </c>
      <c r="D270" s="15" t="s">
        <v>587</v>
      </c>
      <c r="E270" s="16" t="s">
        <v>833</v>
      </c>
      <c r="F270" s="15" t="n">
        <v>2</v>
      </c>
      <c r="G270" s="16" t="s">
        <v>17</v>
      </c>
      <c r="H270" s="15" t="s">
        <v>627</v>
      </c>
      <c r="I270" s="16" t="s">
        <v>1188</v>
      </c>
      <c r="J270" s="16" t="s">
        <v>1187</v>
      </c>
    </row>
    <row r="271" customFormat="false" ht="35.05" hidden="false" customHeight="false" outlineLevel="0" collapsed="false">
      <c r="A271" s="15" t="s">
        <v>189</v>
      </c>
      <c r="B271" s="16" t="s">
        <v>208</v>
      </c>
      <c r="C271" s="16" t="s">
        <v>619</v>
      </c>
      <c r="D271" s="15" t="s">
        <v>591</v>
      </c>
      <c r="E271" s="16" t="s">
        <v>1189</v>
      </c>
      <c r="F271" s="15" t="n">
        <v>1</v>
      </c>
      <c r="G271" s="16" t="s">
        <v>17</v>
      </c>
      <c r="H271" s="15" t="s">
        <v>621</v>
      </c>
      <c r="I271" s="16" t="s">
        <v>1174</v>
      </c>
      <c r="J271" s="16" t="s">
        <v>1190</v>
      </c>
    </row>
    <row r="272" customFormat="false" ht="35.05" hidden="false" customHeight="false" outlineLevel="0" collapsed="false">
      <c r="A272" s="15" t="s">
        <v>189</v>
      </c>
      <c r="B272" s="16" t="s">
        <v>208</v>
      </c>
      <c r="C272" s="16" t="s">
        <v>619</v>
      </c>
      <c r="D272" s="15" t="s">
        <v>148</v>
      </c>
      <c r="E272" s="16" t="s">
        <v>955</v>
      </c>
      <c r="F272" s="15" t="n">
        <v>2</v>
      </c>
      <c r="G272" s="16" t="s">
        <v>17</v>
      </c>
      <c r="H272" s="15" t="s">
        <v>627</v>
      </c>
      <c r="I272" s="16" t="s">
        <v>1174</v>
      </c>
      <c r="J272" s="16" t="s">
        <v>1191</v>
      </c>
    </row>
    <row r="273" customFormat="false" ht="35.05" hidden="false" customHeight="false" outlineLevel="0" collapsed="false">
      <c r="A273" s="15" t="s">
        <v>189</v>
      </c>
      <c r="B273" s="16" t="s">
        <v>208</v>
      </c>
      <c r="C273" s="16" t="s">
        <v>619</v>
      </c>
      <c r="D273" s="15" t="s">
        <v>604</v>
      </c>
      <c r="E273" s="16" t="s">
        <v>1050</v>
      </c>
      <c r="F273" s="15" t="n">
        <v>3</v>
      </c>
      <c r="G273" s="16" t="s">
        <v>17</v>
      </c>
      <c r="H273" s="15" t="s">
        <v>627</v>
      </c>
      <c r="I273" s="16" t="s">
        <v>1174</v>
      </c>
      <c r="J273" s="16" t="s">
        <v>1192</v>
      </c>
    </row>
    <row r="274" customFormat="false" ht="35.05" hidden="false" customHeight="false" outlineLevel="0" collapsed="false">
      <c r="A274" s="15" t="s">
        <v>189</v>
      </c>
      <c r="B274" s="16" t="s">
        <v>208</v>
      </c>
      <c r="C274" s="16" t="s">
        <v>619</v>
      </c>
      <c r="D274" s="15" t="s">
        <v>179</v>
      </c>
      <c r="E274" s="16" t="s">
        <v>693</v>
      </c>
      <c r="F274" s="15" t="n">
        <v>5</v>
      </c>
      <c r="G274" s="16" t="s">
        <v>17</v>
      </c>
      <c r="H274" s="15" t="s">
        <v>654</v>
      </c>
      <c r="I274" s="16" t="s">
        <v>1174</v>
      </c>
      <c r="J274" s="16" t="s">
        <v>1193</v>
      </c>
    </row>
    <row r="275" customFormat="false" ht="35.05" hidden="false" customHeight="false" outlineLevel="0" collapsed="false">
      <c r="A275" s="15" t="s">
        <v>189</v>
      </c>
      <c r="B275" s="16" t="s">
        <v>208</v>
      </c>
      <c r="C275" s="16" t="s">
        <v>619</v>
      </c>
      <c r="D275" s="15" t="s">
        <v>605</v>
      </c>
      <c r="E275" s="16" t="s">
        <v>1042</v>
      </c>
      <c r="F275" s="15" t="n">
        <v>3</v>
      </c>
      <c r="G275" s="16" t="s">
        <v>17</v>
      </c>
      <c r="H275" s="15" t="s">
        <v>627</v>
      </c>
      <c r="I275" s="16" t="s">
        <v>1174</v>
      </c>
      <c r="J275" s="16" t="s">
        <v>1194</v>
      </c>
    </row>
    <row r="276" customFormat="false" ht="35.05" hidden="false" customHeight="false" outlineLevel="0" collapsed="false">
      <c r="A276" s="15" t="s">
        <v>189</v>
      </c>
      <c r="B276" s="16" t="s">
        <v>208</v>
      </c>
      <c r="C276" s="16" t="s">
        <v>1195</v>
      </c>
      <c r="D276" s="15" t="s">
        <v>577</v>
      </c>
      <c r="E276" s="16" t="s">
        <v>1111</v>
      </c>
      <c r="F276" s="15" t="n">
        <v>1</v>
      </c>
      <c r="G276" s="16" t="s">
        <v>17</v>
      </c>
      <c r="H276" s="15" t="s">
        <v>621</v>
      </c>
      <c r="I276" s="16" t="s">
        <v>1196</v>
      </c>
      <c r="J276" s="16" t="s">
        <v>1197</v>
      </c>
    </row>
    <row r="277" customFormat="false" ht="46.25" hidden="false" customHeight="false" outlineLevel="0" collapsed="false">
      <c r="A277" s="15" t="s">
        <v>189</v>
      </c>
      <c r="B277" s="16" t="s">
        <v>208</v>
      </c>
      <c r="C277" s="16" t="s">
        <v>1195</v>
      </c>
      <c r="D277" s="15" t="s">
        <v>584</v>
      </c>
      <c r="E277" s="16" t="s">
        <v>1131</v>
      </c>
      <c r="F277" s="15" t="n">
        <v>3</v>
      </c>
      <c r="G277" s="16" t="s">
        <v>1179</v>
      </c>
      <c r="H277" s="15" t="s">
        <v>654</v>
      </c>
      <c r="I277" s="16" t="s">
        <v>1196</v>
      </c>
      <c r="J277" s="16" t="s">
        <v>1198</v>
      </c>
    </row>
    <row r="278" customFormat="false" ht="35.05" hidden="false" customHeight="false" outlineLevel="0" collapsed="false">
      <c r="A278" s="15" t="s">
        <v>189</v>
      </c>
      <c r="B278" s="16" t="s">
        <v>208</v>
      </c>
      <c r="C278" s="16" t="s">
        <v>1195</v>
      </c>
      <c r="D278" s="15" t="s">
        <v>473</v>
      </c>
      <c r="E278" s="16" t="s">
        <v>775</v>
      </c>
      <c r="F278" s="15" t="n">
        <v>1</v>
      </c>
      <c r="G278" s="16" t="s">
        <v>17</v>
      </c>
      <c r="H278" s="15" t="s">
        <v>621</v>
      </c>
      <c r="I278" s="16" t="s">
        <v>1199</v>
      </c>
      <c r="J278" s="16" t="s">
        <v>1200</v>
      </c>
    </row>
    <row r="279" customFormat="false" ht="46.25" hidden="false" customHeight="false" outlineLevel="0" collapsed="false">
      <c r="A279" s="15" t="s">
        <v>189</v>
      </c>
      <c r="B279" s="16" t="s">
        <v>208</v>
      </c>
      <c r="C279" s="16" t="s">
        <v>1195</v>
      </c>
      <c r="D279" s="15" t="s">
        <v>467</v>
      </c>
      <c r="E279" s="16" t="s">
        <v>1201</v>
      </c>
      <c r="F279" s="15" t="n">
        <v>3</v>
      </c>
      <c r="G279" s="16" t="s">
        <v>17</v>
      </c>
      <c r="H279" s="15" t="s">
        <v>627</v>
      </c>
      <c r="I279" s="16" t="s">
        <v>1196</v>
      </c>
      <c r="J279" s="16" t="s">
        <v>1202</v>
      </c>
    </row>
    <row r="280" customFormat="false" ht="35.05" hidden="false" customHeight="false" outlineLevel="0" collapsed="false">
      <c r="A280" s="15" t="s">
        <v>189</v>
      </c>
      <c r="B280" s="16" t="s">
        <v>208</v>
      </c>
      <c r="C280" s="16" t="s">
        <v>1203</v>
      </c>
      <c r="D280" s="15" t="s">
        <v>235</v>
      </c>
      <c r="E280" s="16" t="s">
        <v>1204</v>
      </c>
      <c r="F280" s="15" t="n">
        <v>1</v>
      </c>
      <c r="G280" s="16" t="s">
        <v>17</v>
      </c>
      <c r="H280" s="15" t="s">
        <v>621</v>
      </c>
      <c r="I280" s="16" t="s">
        <v>1205</v>
      </c>
      <c r="J280" s="16" t="s">
        <v>1206</v>
      </c>
    </row>
    <row r="281" customFormat="false" ht="35.05" hidden="false" customHeight="false" outlineLevel="0" collapsed="false">
      <c r="A281" s="15" t="s">
        <v>189</v>
      </c>
      <c r="B281" s="16" t="s">
        <v>208</v>
      </c>
      <c r="C281" s="16" t="s">
        <v>1203</v>
      </c>
      <c r="D281" s="15" t="s">
        <v>584</v>
      </c>
      <c r="E281" s="16" t="s">
        <v>1131</v>
      </c>
      <c r="F281" s="15" t="n">
        <v>1</v>
      </c>
      <c r="G281" s="16" t="s">
        <v>17</v>
      </c>
      <c r="H281" s="15" t="s">
        <v>621</v>
      </c>
      <c r="I281" s="16" t="s">
        <v>1205</v>
      </c>
      <c r="J281" s="16" t="s">
        <v>1207</v>
      </c>
    </row>
    <row r="282" customFormat="false" ht="35.05" hidden="false" customHeight="false" outlineLevel="0" collapsed="false">
      <c r="A282" s="15" t="s">
        <v>189</v>
      </c>
      <c r="B282" s="16" t="s">
        <v>208</v>
      </c>
      <c r="C282" s="16" t="s">
        <v>1208</v>
      </c>
      <c r="D282" s="15" t="s">
        <v>42</v>
      </c>
      <c r="E282" s="16" t="s">
        <v>701</v>
      </c>
      <c r="F282" s="15" t="n">
        <v>1</v>
      </c>
      <c r="G282" s="16" t="s">
        <v>17</v>
      </c>
      <c r="H282" s="15" t="s">
        <v>621</v>
      </c>
      <c r="I282" s="16" t="s">
        <v>1209</v>
      </c>
      <c r="J282" s="16" t="s">
        <v>1210</v>
      </c>
    </row>
    <row r="283" customFormat="false" ht="35.05" hidden="false" customHeight="false" outlineLevel="0" collapsed="false">
      <c r="A283" s="15" t="s">
        <v>189</v>
      </c>
      <c r="B283" s="16" t="s">
        <v>208</v>
      </c>
      <c r="C283" s="16" t="s">
        <v>1208</v>
      </c>
      <c r="D283" s="15" t="s">
        <v>584</v>
      </c>
      <c r="E283" s="16" t="s">
        <v>1131</v>
      </c>
      <c r="F283" s="15" t="n">
        <v>1</v>
      </c>
      <c r="G283" s="16" t="s">
        <v>17</v>
      </c>
      <c r="H283" s="15" t="s">
        <v>621</v>
      </c>
      <c r="I283" s="16" t="s">
        <v>1211</v>
      </c>
      <c r="J283" s="16" t="s">
        <v>1212</v>
      </c>
    </row>
    <row r="284" customFormat="false" ht="35.05" hidden="false" customHeight="false" outlineLevel="0" collapsed="false">
      <c r="A284" s="15" t="s">
        <v>189</v>
      </c>
      <c r="B284" s="16" t="s">
        <v>208</v>
      </c>
      <c r="C284" s="16" t="s">
        <v>1208</v>
      </c>
      <c r="D284" s="15" t="s">
        <v>473</v>
      </c>
      <c r="E284" s="16" t="s">
        <v>775</v>
      </c>
      <c r="F284" s="15" t="n">
        <v>2</v>
      </c>
      <c r="G284" s="16" t="s">
        <v>17</v>
      </c>
      <c r="H284" s="15" t="s">
        <v>627</v>
      </c>
      <c r="I284" s="16" t="s">
        <v>1213</v>
      </c>
      <c r="J284" s="16" t="s">
        <v>1214</v>
      </c>
    </row>
    <row r="285" customFormat="false" ht="35.05" hidden="false" customHeight="false" outlineLevel="0" collapsed="false">
      <c r="A285" s="15" t="s">
        <v>189</v>
      </c>
      <c r="B285" s="16" t="s">
        <v>208</v>
      </c>
      <c r="C285" s="16" t="s">
        <v>1215</v>
      </c>
      <c r="D285" s="15" t="s">
        <v>42</v>
      </c>
      <c r="E285" s="16" t="s">
        <v>701</v>
      </c>
      <c r="F285" s="15" t="n">
        <v>1</v>
      </c>
      <c r="G285" s="16" t="s">
        <v>17</v>
      </c>
      <c r="H285" s="15" t="s">
        <v>621</v>
      </c>
      <c r="I285" s="16" t="s">
        <v>1216</v>
      </c>
      <c r="J285" s="16" t="s">
        <v>1217</v>
      </c>
    </row>
    <row r="286" customFormat="false" ht="35.05" hidden="false" customHeight="false" outlineLevel="0" collapsed="false">
      <c r="A286" s="15" t="s">
        <v>189</v>
      </c>
      <c r="B286" s="16" t="s">
        <v>214</v>
      </c>
      <c r="C286" s="16" t="s">
        <v>619</v>
      </c>
      <c r="D286" s="15" t="s">
        <v>398</v>
      </c>
      <c r="E286" s="16" t="s">
        <v>641</v>
      </c>
      <c r="F286" s="15" t="n">
        <v>1</v>
      </c>
      <c r="G286" s="16" t="s">
        <v>17</v>
      </c>
      <c r="H286" s="15" t="s">
        <v>621</v>
      </c>
      <c r="I286" s="16" t="s">
        <v>1218</v>
      </c>
      <c r="J286" s="16" t="s">
        <v>1219</v>
      </c>
    </row>
    <row r="287" customFormat="false" ht="35.05" hidden="false" customHeight="false" outlineLevel="0" collapsed="false">
      <c r="A287" s="15" t="s">
        <v>189</v>
      </c>
      <c r="B287" s="16" t="s">
        <v>214</v>
      </c>
      <c r="C287" s="16" t="s">
        <v>619</v>
      </c>
      <c r="D287" s="15" t="s">
        <v>42</v>
      </c>
      <c r="E287" s="16" t="s">
        <v>701</v>
      </c>
      <c r="F287" s="15" t="n">
        <v>3</v>
      </c>
      <c r="G287" s="16" t="s">
        <v>1220</v>
      </c>
      <c r="H287" s="15" t="s">
        <v>654</v>
      </c>
      <c r="I287" s="16" t="s">
        <v>1221</v>
      </c>
      <c r="J287" s="16" t="s">
        <v>1222</v>
      </c>
    </row>
    <row r="288" customFormat="false" ht="35.05" hidden="false" customHeight="false" outlineLevel="0" collapsed="false">
      <c r="A288" s="15" t="s">
        <v>189</v>
      </c>
      <c r="B288" s="16" t="s">
        <v>214</v>
      </c>
      <c r="C288" s="16" t="s">
        <v>619</v>
      </c>
      <c r="D288" s="15" t="s">
        <v>220</v>
      </c>
      <c r="E288" s="16" t="s">
        <v>646</v>
      </c>
      <c r="F288" s="15" t="n">
        <v>1</v>
      </c>
      <c r="G288" s="16" t="s">
        <v>17</v>
      </c>
      <c r="H288" s="15" t="s">
        <v>621</v>
      </c>
      <c r="I288" s="16" t="s">
        <v>1218</v>
      </c>
      <c r="J288" s="16" t="s">
        <v>1223</v>
      </c>
    </row>
    <row r="289" customFormat="false" ht="35.05" hidden="false" customHeight="false" outlineLevel="0" collapsed="false">
      <c r="A289" s="15" t="s">
        <v>189</v>
      </c>
      <c r="B289" s="16" t="s">
        <v>214</v>
      </c>
      <c r="C289" s="16" t="s">
        <v>619</v>
      </c>
      <c r="D289" s="15" t="s">
        <v>550</v>
      </c>
      <c r="E289" s="16" t="s">
        <v>1224</v>
      </c>
      <c r="F289" s="15" t="n">
        <v>1</v>
      </c>
      <c r="G289" s="16" t="s">
        <v>17</v>
      </c>
      <c r="H289" s="15" t="s">
        <v>621</v>
      </c>
      <c r="I289" s="16" t="s">
        <v>1225</v>
      </c>
      <c r="J289" s="16" t="s">
        <v>1226</v>
      </c>
    </row>
    <row r="290" customFormat="false" ht="35.05" hidden="false" customHeight="false" outlineLevel="0" collapsed="false">
      <c r="A290" s="15" t="s">
        <v>189</v>
      </c>
      <c r="B290" s="16" t="s">
        <v>217</v>
      </c>
      <c r="C290" s="16" t="s">
        <v>619</v>
      </c>
      <c r="D290" s="15" t="s">
        <v>220</v>
      </c>
      <c r="E290" s="16" t="s">
        <v>646</v>
      </c>
      <c r="F290" s="15" t="n">
        <v>4</v>
      </c>
      <c r="G290" s="16" t="s">
        <v>17</v>
      </c>
      <c r="H290" s="15" t="s">
        <v>627</v>
      </c>
      <c r="I290" s="16" t="s">
        <v>1227</v>
      </c>
      <c r="J290" s="16" t="s">
        <v>1228</v>
      </c>
    </row>
    <row r="291" customFormat="false" ht="35.05" hidden="false" customHeight="false" outlineLevel="0" collapsed="false">
      <c r="A291" s="15" t="s">
        <v>189</v>
      </c>
      <c r="B291" s="16" t="s">
        <v>217</v>
      </c>
      <c r="C291" s="16" t="s">
        <v>619</v>
      </c>
      <c r="D291" s="15" t="s">
        <v>296</v>
      </c>
      <c r="E291" s="16" t="s">
        <v>714</v>
      </c>
      <c r="F291" s="15" t="n">
        <v>1</v>
      </c>
      <c r="G291" s="16" t="s">
        <v>17</v>
      </c>
      <c r="H291" s="15" t="s">
        <v>621</v>
      </c>
      <c r="I291" s="16" t="s">
        <v>1229</v>
      </c>
      <c r="J291" s="16" t="s">
        <v>1230</v>
      </c>
    </row>
    <row r="292" customFormat="false" ht="35.05" hidden="false" customHeight="false" outlineLevel="0" collapsed="false">
      <c r="A292" s="15" t="s">
        <v>189</v>
      </c>
      <c r="B292" s="16" t="s">
        <v>217</v>
      </c>
      <c r="C292" s="16" t="s">
        <v>221</v>
      </c>
      <c r="D292" s="15" t="s">
        <v>220</v>
      </c>
      <c r="E292" s="16" t="s">
        <v>646</v>
      </c>
      <c r="F292" s="15" t="n">
        <v>6</v>
      </c>
      <c r="G292" s="16" t="s">
        <v>17</v>
      </c>
      <c r="H292" s="15" t="s">
        <v>654</v>
      </c>
      <c r="I292" s="16" t="s">
        <v>1231</v>
      </c>
      <c r="J292" s="16" t="s">
        <v>1232</v>
      </c>
    </row>
    <row r="293" customFormat="false" ht="35.05" hidden="false" customHeight="false" outlineLevel="0" collapsed="false">
      <c r="A293" s="15" t="s">
        <v>189</v>
      </c>
      <c r="B293" s="16" t="s">
        <v>217</v>
      </c>
      <c r="C293" s="16" t="s">
        <v>221</v>
      </c>
      <c r="D293" s="15" t="s">
        <v>570</v>
      </c>
      <c r="E293" s="16" t="s">
        <v>730</v>
      </c>
      <c r="F293" s="15" t="n">
        <v>3</v>
      </c>
      <c r="G293" s="16" t="s">
        <v>17</v>
      </c>
      <c r="H293" s="15" t="s">
        <v>627</v>
      </c>
      <c r="I293" s="16" t="s">
        <v>1233</v>
      </c>
      <c r="J293" s="16" t="s">
        <v>1234</v>
      </c>
    </row>
    <row r="294" customFormat="false" ht="35.05" hidden="false" customHeight="false" outlineLevel="0" collapsed="false">
      <c r="A294" s="15" t="s">
        <v>189</v>
      </c>
      <c r="B294" s="16" t="s">
        <v>217</v>
      </c>
      <c r="C294" s="16" t="s">
        <v>221</v>
      </c>
      <c r="D294" s="15" t="s">
        <v>573</v>
      </c>
      <c r="E294" s="16" t="s">
        <v>923</v>
      </c>
      <c r="F294" s="15" t="n">
        <v>2</v>
      </c>
      <c r="G294" s="16" t="s">
        <v>17</v>
      </c>
      <c r="H294" s="15" t="s">
        <v>627</v>
      </c>
      <c r="I294" s="16" t="s">
        <v>1235</v>
      </c>
      <c r="J294" s="16" t="s">
        <v>1236</v>
      </c>
    </row>
    <row r="295" customFormat="false" ht="35.05" hidden="false" customHeight="false" outlineLevel="0" collapsed="false">
      <c r="A295" s="15" t="s">
        <v>189</v>
      </c>
      <c r="B295" s="16" t="s">
        <v>217</v>
      </c>
      <c r="C295" s="16" t="s">
        <v>221</v>
      </c>
      <c r="D295" s="15" t="s">
        <v>574</v>
      </c>
      <c r="E295" s="16" t="s">
        <v>732</v>
      </c>
      <c r="F295" s="15" t="n">
        <v>1</v>
      </c>
      <c r="G295" s="16" t="s">
        <v>17</v>
      </c>
      <c r="H295" s="15" t="s">
        <v>621</v>
      </c>
      <c r="I295" s="16" t="s">
        <v>1237</v>
      </c>
      <c r="J295" s="16" t="s">
        <v>1238</v>
      </c>
    </row>
    <row r="296" customFormat="false" ht="35.05" hidden="false" customHeight="false" outlineLevel="0" collapsed="false">
      <c r="A296" s="15" t="s">
        <v>189</v>
      </c>
      <c r="B296" s="16" t="s">
        <v>217</v>
      </c>
      <c r="C296" s="16" t="s">
        <v>221</v>
      </c>
      <c r="D296" s="15" t="s">
        <v>296</v>
      </c>
      <c r="E296" s="16" t="s">
        <v>714</v>
      </c>
      <c r="F296" s="15" t="n">
        <v>2</v>
      </c>
      <c r="G296" s="16" t="s">
        <v>17</v>
      </c>
      <c r="H296" s="15" t="s">
        <v>627</v>
      </c>
      <c r="I296" s="16" t="s">
        <v>1239</v>
      </c>
      <c r="J296" s="16" t="s">
        <v>1240</v>
      </c>
    </row>
    <row r="297" customFormat="false" ht="35.05" hidden="false" customHeight="false" outlineLevel="0" collapsed="false">
      <c r="A297" s="15" t="s">
        <v>189</v>
      </c>
      <c r="B297" s="16" t="s">
        <v>217</v>
      </c>
      <c r="C297" s="16" t="s">
        <v>221</v>
      </c>
      <c r="D297" s="15" t="s">
        <v>578</v>
      </c>
      <c r="E297" s="16" t="s">
        <v>666</v>
      </c>
      <c r="F297" s="15" t="n">
        <v>1</v>
      </c>
      <c r="G297" s="16" t="s">
        <v>17</v>
      </c>
      <c r="H297" s="15" t="s">
        <v>621</v>
      </c>
      <c r="I297" s="16" t="s">
        <v>1241</v>
      </c>
      <c r="J297" s="16" t="s">
        <v>1242</v>
      </c>
    </row>
    <row r="298" customFormat="false" ht="35.05" hidden="false" customHeight="false" outlineLevel="0" collapsed="false">
      <c r="A298" s="15" t="s">
        <v>189</v>
      </c>
      <c r="B298" s="16" t="s">
        <v>223</v>
      </c>
      <c r="C298" s="16" t="s">
        <v>619</v>
      </c>
      <c r="D298" s="15" t="s">
        <v>42</v>
      </c>
      <c r="E298" s="16" t="s">
        <v>701</v>
      </c>
      <c r="F298" s="15" t="n">
        <v>2</v>
      </c>
      <c r="G298" s="16" t="s">
        <v>17</v>
      </c>
      <c r="H298" s="15" t="s">
        <v>627</v>
      </c>
      <c r="I298" s="16" t="s">
        <v>1243</v>
      </c>
      <c r="J298" s="16" t="s">
        <v>1244</v>
      </c>
    </row>
    <row r="299" customFormat="false" ht="46.25" hidden="false" customHeight="false" outlineLevel="0" collapsed="false">
      <c r="A299" s="15" t="s">
        <v>189</v>
      </c>
      <c r="B299" s="16" t="s">
        <v>223</v>
      </c>
      <c r="C299" s="16" t="s">
        <v>619</v>
      </c>
      <c r="D299" s="15" t="s">
        <v>220</v>
      </c>
      <c r="E299" s="16" t="s">
        <v>646</v>
      </c>
      <c r="F299" s="15" t="n">
        <v>28</v>
      </c>
      <c r="G299" s="16" t="s">
        <v>1245</v>
      </c>
      <c r="H299" s="15" t="s">
        <v>654</v>
      </c>
      <c r="I299" s="16" t="s">
        <v>1246</v>
      </c>
      <c r="J299" s="16" t="s">
        <v>1247</v>
      </c>
    </row>
    <row r="300" customFormat="false" ht="35.05" hidden="false" customHeight="false" outlineLevel="0" collapsed="false">
      <c r="A300" s="15" t="s">
        <v>189</v>
      </c>
      <c r="B300" s="16" t="s">
        <v>223</v>
      </c>
      <c r="C300" s="16" t="s">
        <v>619</v>
      </c>
      <c r="D300" s="15" t="s">
        <v>294</v>
      </c>
      <c r="E300" s="16" t="s">
        <v>640</v>
      </c>
      <c r="F300" s="15" t="n">
        <v>1</v>
      </c>
      <c r="G300" s="16" t="s">
        <v>17</v>
      </c>
      <c r="H300" s="15" t="s">
        <v>621</v>
      </c>
      <c r="I300" s="16" t="s">
        <v>1248</v>
      </c>
      <c r="J300" s="16" t="s">
        <v>1249</v>
      </c>
    </row>
    <row r="301" customFormat="false" ht="35.05" hidden="false" customHeight="false" outlineLevel="0" collapsed="false">
      <c r="A301" s="15" t="s">
        <v>189</v>
      </c>
      <c r="B301" s="16" t="s">
        <v>223</v>
      </c>
      <c r="C301" s="16" t="s">
        <v>619</v>
      </c>
      <c r="D301" s="15" t="s">
        <v>296</v>
      </c>
      <c r="E301" s="16" t="s">
        <v>714</v>
      </c>
      <c r="F301" s="15" t="n">
        <v>1</v>
      </c>
      <c r="G301" s="16" t="s">
        <v>17</v>
      </c>
      <c r="H301" s="15" t="s">
        <v>621</v>
      </c>
      <c r="I301" s="16" t="s">
        <v>1248</v>
      </c>
      <c r="J301" s="16" t="s">
        <v>1250</v>
      </c>
    </row>
    <row r="302" customFormat="false" ht="35.05" hidden="false" customHeight="false" outlineLevel="0" collapsed="false">
      <c r="A302" s="15" t="s">
        <v>189</v>
      </c>
      <c r="B302" s="16" t="s">
        <v>223</v>
      </c>
      <c r="C302" s="16" t="s">
        <v>619</v>
      </c>
      <c r="D302" s="15" t="s">
        <v>578</v>
      </c>
      <c r="E302" s="16" t="s">
        <v>666</v>
      </c>
      <c r="F302" s="15" t="n">
        <v>1</v>
      </c>
      <c r="G302" s="16" t="s">
        <v>17</v>
      </c>
      <c r="H302" s="15" t="s">
        <v>621</v>
      </c>
      <c r="I302" s="16" t="s">
        <v>1248</v>
      </c>
      <c r="J302" s="16" t="s">
        <v>1251</v>
      </c>
    </row>
    <row r="303" customFormat="false" ht="35.05" hidden="false" customHeight="false" outlineLevel="0" collapsed="false">
      <c r="A303" s="15" t="s">
        <v>189</v>
      </c>
      <c r="B303" s="16" t="s">
        <v>223</v>
      </c>
      <c r="C303" s="16" t="s">
        <v>1252</v>
      </c>
      <c r="D303" s="15" t="s">
        <v>220</v>
      </c>
      <c r="E303" s="16" t="s">
        <v>646</v>
      </c>
      <c r="F303" s="15" t="n">
        <v>3</v>
      </c>
      <c r="G303" s="16" t="s">
        <v>1253</v>
      </c>
      <c r="H303" s="15" t="s">
        <v>654</v>
      </c>
      <c r="I303" s="16" t="s">
        <v>1254</v>
      </c>
      <c r="J303" s="16" t="s">
        <v>1255</v>
      </c>
    </row>
    <row r="304" customFormat="false" ht="35.05" hidden="false" customHeight="false" outlineLevel="0" collapsed="false">
      <c r="A304" s="15" t="s">
        <v>189</v>
      </c>
      <c r="B304" s="16" t="s">
        <v>223</v>
      </c>
      <c r="C304" s="16" t="s">
        <v>1256</v>
      </c>
      <c r="D304" s="15" t="s">
        <v>220</v>
      </c>
      <c r="E304" s="16" t="s">
        <v>646</v>
      </c>
      <c r="F304" s="15" t="n">
        <v>1</v>
      </c>
      <c r="G304" s="16" t="s">
        <v>17</v>
      </c>
      <c r="H304" s="15" t="s">
        <v>621</v>
      </c>
      <c r="I304" s="16" t="s">
        <v>1257</v>
      </c>
      <c r="J304" s="16" t="s">
        <v>1258</v>
      </c>
    </row>
    <row r="305" customFormat="false" ht="35.05" hidden="false" customHeight="false" outlineLevel="0" collapsed="false">
      <c r="A305" s="15" t="s">
        <v>189</v>
      </c>
      <c r="B305" s="16" t="s">
        <v>223</v>
      </c>
      <c r="C305" s="16" t="s">
        <v>1256</v>
      </c>
      <c r="D305" s="15" t="s">
        <v>227</v>
      </c>
      <c r="E305" s="16" t="s">
        <v>819</v>
      </c>
      <c r="F305" s="15" t="n">
        <v>1</v>
      </c>
      <c r="G305" s="16" t="s">
        <v>17</v>
      </c>
      <c r="H305" s="15" t="s">
        <v>621</v>
      </c>
      <c r="I305" s="16" t="s">
        <v>1259</v>
      </c>
      <c r="J305" s="16" t="s">
        <v>1260</v>
      </c>
    </row>
    <row r="306" customFormat="false" ht="35.05" hidden="false" customHeight="false" outlineLevel="0" collapsed="false">
      <c r="A306" s="15" t="s">
        <v>189</v>
      </c>
      <c r="B306" s="16" t="s">
        <v>223</v>
      </c>
      <c r="C306" s="16" t="s">
        <v>1261</v>
      </c>
      <c r="D306" s="15" t="s">
        <v>220</v>
      </c>
      <c r="E306" s="16" t="s">
        <v>646</v>
      </c>
      <c r="F306" s="15" t="n">
        <v>1</v>
      </c>
      <c r="G306" s="16" t="s">
        <v>17</v>
      </c>
      <c r="H306" s="15" t="s">
        <v>621</v>
      </c>
      <c r="I306" s="16" t="s">
        <v>1262</v>
      </c>
      <c r="J306" s="16" t="s">
        <v>1263</v>
      </c>
    </row>
    <row r="307" customFormat="false" ht="35.05" hidden="false" customHeight="false" outlineLevel="0" collapsed="false">
      <c r="A307" s="15" t="s">
        <v>189</v>
      </c>
      <c r="B307" s="16" t="s">
        <v>228</v>
      </c>
      <c r="C307" s="16" t="s">
        <v>619</v>
      </c>
      <c r="D307" s="15" t="s">
        <v>220</v>
      </c>
      <c r="E307" s="16" t="s">
        <v>646</v>
      </c>
      <c r="F307" s="15" t="n">
        <v>2</v>
      </c>
      <c r="G307" s="16" t="s">
        <v>17</v>
      </c>
      <c r="H307" s="15" t="s">
        <v>627</v>
      </c>
      <c r="I307" s="16" t="s">
        <v>1264</v>
      </c>
      <c r="J307" s="16" t="s">
        <v>1265</v>
      </c>
    </row>
    <row r="308" customFormat="false" ht="35.05" hidden="false" customHeight="false" outlineLevel="0" collapsed="false">
      <c r="A308" s="15" t="s">
        <v>189</v>
      </c>
      <c r="B308" s="16" t="s">
        <v>230</v>
      </c>
      <c r="C308" s="16" t="s">
        <v>619</v>
      </c>
      <c r="D308" s="15" t="s">
        <v>220</v>
      </c>
      <c r="E308" s="16" t="s">
        <v>646</v>
      </c>
      <c r="F308" s="15" t="n">
        <v>23</v>
      </c>
      <c r="G308" s="16" t="s">
        <v>1266</v>
      </c>
      <c r="H308" s="15" t="s">
        <v>654</v>
      </c>
      <c r="I308" s="16" t="s">
        <v>1267</v>
      </c>
      <c r="J308" s="16" t="s">
        <v>1268</v>
      </c>
    </row>
    <row r="309" customFormat="false" ht="35.05" hidden="false" customHeight="false" outlineLevel="0" collapsed="false">
      <c r="A309" s="15" t="s">
        <v>189</v>
      </c>
      <c r="B309" s="16" t="s">
        <v>230</v>
      </c>
      <c r="C309" s="16" t="s">
        <v>619</v>
      </c>
      <c r="D309" s="15" t="s">
        <v>570</v>
      </c>
      <c r="E309" s="16" t="s">
        <v>730</v>
      </c>
      <c r="F309" s="15" t="n">
        <v>12</v>
      </c>
      <c r="G309" s="16" t="s">
        <v>1269</v>
      </c>
      <c r="H309" s="15" t="s">
        <v>654</v>
      </c>
      <c r="I309" s="16" t="s">
        <v>1270</v>
      </c>
      <c r="J309" s="16" t="s">
        <v>1271</v>
      </c>
    </row>
    <row r="310" customFormat="false" ht="35.05" hidden="false" customHeight="false" outlineLevel="0" collapsed="false">
      <c r="A310" s="15" t="s">
        <v>189</v>
      </c>
      <c r="B310" s="16" t="s">
        <v>230</v>
      </c>
      <c r="C310" s="16" t="s">
        <v>619</v>
      </c>
      <c r="D310" s="15" t="s">
        <v>573</v>
      </c>
      <c r="E310" s="16" t="s">
        <v>923</v>
      </c>
      <c r="F310" s="15" t="n">
        <v>5</v>
      </c>
      <c r="G310" s="16" t="s">
        <v>17</v>
      </c>
      <c r="H310" s="15" t="s">
        <v>654</v>
      </c>
      <c r="I310" s="16" t="s">
        <v>1270</v>
      </c>
      <c r="J310" s="16" t="s">
        <v>1272</v>
      </c>
    </row>
    <row r="311" customFormat="false" ht="35.05" hidden="false" customHeight="false" outlineLevel="0" collapsed="false">
      <c r="A311" s="15" t="s">
        <v>189</v>
      </c>
      <c r="B311" s="16" t="s">
        <v>230</v>
      </c>
      <c r="C311" s="16" t="s">
        <v>619</v>
      </c>
      <c r="D311" s="15" t="s">
        <v>294</v>
      </c>
      <c r="E311" s="16" t="s">
        <v>640</v>
      </c>
      <c r="F311" s="15" t="n">
        <v>1</v>
      </c>
      <c r="G311" s="16" t="s">
        <v>17</v>
      </c>
      <c r="H311" s="15" t="s">
        <v>621</v>
      </c>
      <c r="I311" s="16" t="s">
        <v>1270</v>
      </c>
      <c r="J311" s="16" t="s">
        <v>1273</v>
      </c>
    </row>
    <row r="312" customFormat="false" ht="35.05" hidden="false" customHeight="false" outlineLevel="0" collapsed="false">
      <c r="A312" s="15" t="s">
        <v>189</v>
      </c>
      <c r="B312" s="16" t="s">
        <v>230</v>
      </c>
      <c r="C312" s="16" t="s">
        <v>619</v>
      </c>
      <c r="D312" s="15" t="s">
        <v>574</v>
      </c>
      <c r="E312" s="16" t="s">
        <v>732</v>
      </c>
      <c r="F312" s="15" t="n">
        <v>8</v>
      </c>
      <c r="G312" s="16" t="s">
        <v>1274</v>
      </c>
      <c r="H312" s="15" t="s">
        <v>654</v>
      </c>
      <c r="I312" s="16" t="s">
        <v>1275</v>
      </c>
      <c r="J312" s="16" t="s">
        <v>1276</v>
      </c>
    </row>
    <row r="313" customFormat="false" ht="35.05" hidden="false" customHeight="false" outlineLevel="0" collapsed="false">
      <c r="A313" s="15" t="s">
        <v>189</v>
      </c>
      <c r="B313" s="16" t="s">
        <v>230</v>
      </c>
      <c r="C313" s="16" t="s">
        <v>619</v>
      </c>
      <c r="D313" s="15" t="s">
        <v>575</v>
      </c>
      <c r="E313" s="16" t="s">
        <v>950</v>
      </c>
      <c r="F313" s="15" t="n">
        <v>3</v>
      </c>
      <c r="G313" s="16" t="s">
        <v>1277</v>
      </c>
      <c r="H313" s="15" t="s">
        <v>654</v>
      </c>
      <c r="I313" s="16" t="s">
        <v>1270</v>
      </c>
      <c r="J313" s="16" t="s">
        <v>1278</v>
      </c>
    </row>
    <row r="314" customFormat="false" ht="35.05" hidden="false" customHeight="false" outlineLevel="0" collapsed="false">
      <c r="A314" s="15" t="s">
        <v>189</v>
      </c>
      <c r="B314" s="16" t="s">
        <v>230</v>
      </c>
      <c r="C314" s="16" t="s">
        <v>619</v>
      </c>
      <c r="D314" s="15" t="s">
        <v>577</v>
      </c>
      <c r="E314" s="16" t="s">
        <v>1111</v>
      </c>
      <c r="F314" s="15" t="n">
        <v>4</v>
      </c>
      <c r="G314" s="16" t="s">
        <v>1279</v>
      </c>
      <c r="H314" s="15" t="s">
        <v>654</v>
      </c>
      <c r="I314" s="16" t="s">
        <v>1270</v>
      </c>
      <c r="J314" s="16" t="s">
        <v>1280</v>
      </c>
    </row>
    <row r="315" customFormat="false" ht="57.45" hidden="false" customHeight="false" outlineLevel="0" collapsed="false">
      <c r="A315" s="15" t="s">
        <v>189</v>
      </c>
      <c r="B315" s="16" t="s">
        <v>230</v>
      </c>
      <c r="C315" s="16" t="s">
        <v>619</v>
      </c>
      <c r="D315" s="15" t="s">
        <v>296</v>
      </c>
      <c r="E315" s="16" t="s">
        <v>714</v>
      </c>
      <c r="F315" s="15" t="n">
        <v>21</v>
      </c>
      <c r="G315" s="16" t="s">
        <v>1281</v>
      </c>
      <c r="H315" s="15" t="s">
        <v>654</v>
      </c>
      <c r="I315" s="16" t="s">
        <v>1270</v>
      </c>
      <c r="J315" s="16" t="s">
        <v>1282</v>
      </c>
    </row>
    <row r="316" customFormat="false" ht="35.05" hidden="false" customHeight="false" outlineLevel="0" collapsed="false">
      <c r="A316" s="15" t="s">
        <v>189</v>
      </c>
      <c r="B316" s="16" t="s">
        <v>230</v>
      </c>
      <c r="C316" s="16" t="s">
        <v>619</v>
      </c>
      <c r="D316" s="15" t="s">
        <v>578</v>
      </c>
      <c r="E316" s="16" t="s">
        <v>666</v>
      </c>
      <c r="F316" s="15" t="n">
        <v>18</v>
      </c>
      <c r="G316" s="16" t="s">
        <v>17</v>
      </c>
      <c r="H316" s="15" t="s">
        <v>654</v>
      </c>
      <c r="I316" s="16" t="s">
        <v>1283</v>
      </c>
      <c r="J316" s="16" t="s">
        <v>1284</v>
      </c>
    </row>
    <row r="317" customFormat="false" ht="35.05" hidden="false" customHeight="false" outlineLevel="0" collapsed="false">
      <c r="A317" s="15" t="s">
        <v>189</v>
      </c>
      <c r="B317" s="16" t="s">
        <v>230</v>
      </c>
      <c r="C317" s="16" t="s">
        <v>619</v>
      </c>
      <c r="D317" s="15" t="s">
        <v>477</v>
      </c>
      <c r="E317" s="16" t="s">
        <v>1133</v>
      </c>
      <c r="F317" s="15" t="n">
        <v>3</v>
      </c>
      <c r="G317" s="16" t="s">
        <v>1285</v>
      </c>
      <c r="H317" s="15" t="s">
        <v>654</v>
      </c>
      <c r="I317" s="16" t="s">
        <v>1286</v>
      </c>
      <c r="J317" s="16" t="s">
        <v>1287</v>
      </c>
    </row>
    <row r="318" customFormat="false" ht="35.05" hidden="false" customHeight="false" outlineLevel="0" collapsed="false">
      <c r="A318" s="15" t="s">
        <v>189</v>
      </c>
      <c r="B318" s="16" t="s">
        <v>230</v>
      </c>
      <c r="C318" s="16" t="s">
        <v>1288</v>
      </c>
      <c r="D318" s="15" t="s">
        <v>235</v>
      </c>
      <c r="E318" s="16" t="s">
        <v>1204</v>
      </c>
      <c r="F318" s="15" t="n">
        <v>1</v>
      </c>
      <c r="G318" s="16" t="s">
        <v>17</v>
      </c>
      <c r="H318" s="15" t="s">
        <v>621</v>
      </c>
      <c r="I318" s="16" t="s">
        <v>1289</v>
      </c>
      <c r="J318" s="16" t="s">
        <v>1290</v>
      </c>
    </row>
    <row r="319" customFormat="false" ht="35.05" hidden="false" customHeight="false" outlineLevel="0" collapsed="false">
      <c r="A319" s="15" t="s">
        <v>189</v>
      </c>
      <c r="B319" s="16" t="s">
        <v>230</v>
      </c>
      <c r="C319" s="16" t="s">
        <v>1291</v>
      </c>
      <c r="D319" s="15" t="s">
        <v>220</v>
      </c>
      <c r="E319" s="16" t="s">
        <v>646</v>
      </c>
      <c r="F319" s="15" t="n">
        <v>3</v>
      </c>
      <c r="G319" s="16" t="s">
        <v>17</v>
      </c>
      <c r="H319" s="15" t="s">
        <v>627</v>
      </c>
      <c r="I319" s="16" t="s">
        <v>1292</v>
      </c>
      <c r="J319" s="16" t="s">
        <v>1293</v>
      </c>
    </row>
    <row r="320" customFormat="false" ht="35.05" hidden="false" customHeight="false" outlineLevel="0" collapsed="false">
      <c r="A320" s="15" t="s">
        <v>189</v>
      </c>
      <c r="B320" s="16" t="s">
        <v>230</v>
      </c>
      <c r="C320" s="16" t="s">
        <v>1291</v>
      </c>
      <c r="D320" s="15" t="s">
        <v>570</v>
      </c>
      <c r="E320" s="16" t="s">
        <v>730</v>
      </c>
      <c r="F320" s="15" t="n">
        <v>9</v>
      </c>
      <c r="G320" s="16" t="s">
        <v>17</v>
      </c>
      <c r="H320" s="15" t="s">
        <v>654</v>
      </c>
      <c r="I320" s="16" t="s">
        <v>1294</v>
      </c>
      <c r="J320" s="16" t="s">
        <v>1295</v>
      </c>
    </row>
    <row r="321" customFormat="false" ht="35.05" hidden="false" customHeight="false" outlineLevel="0" collapsed="false">
      <c r="A321" s="15" t="s">
        <v>189</v>
      </c>
      <c r="B321" s="16" t="s">
        <v>236</v>
      </c>
      <c r="C321" s="16" t="s">
        <v>619</v>
      </c>
      <c r="D321" s="15" t="s">
        <v>398</v>
      </c>
      <c r="E321" s="16" t="s">
        <v>641</v>
      </c>
      <c r="F321" s="15" t="n">
        <v>1</v>
      </c>
      <c r="G321" s="16" t="s">
        <v>17</v>
      </c>
      <c r="H321" s="15" t="s">
        <v>621</v>
      </c>
      <c r="I321" s="16" t="s">
        <v>236</v>
      </c>
      <c r="J321" s="16" t="s">
        <v>1296</v>
      </c>
    </row>
    <row r="322" customFormat="false" ht="35.05" hidden="false" customHeight="false" outlineLevel="0" collapsed="false">
      <c r="A322" s="15" t="s">
        <v>189</v>
      </c>
      <c r="B322" s="16" t="s">
        <v>236</v>
      </c>
      <c r="C322" s="16" t="s">
        <v>619</v>
      </c>
      <c r="D322" s="15" t="s">
        <v>562</v>
      </c>
      <c r="E322" s="16" t="s">
        <v>716</v>
      </c>
      <c r="F322" s="15" t="n">
        <v>1</v>
      </c>
      <c r="G322" s="16" t="s">
        <v>17</v>
      </c>
      <c r="H322" s="15" t="s">
        <v>621</v>
      </c>
      <c r="I322" s="16" t="s">
        <v>236</v>
      </c>
      <c r="J322" s="16" t="s">
        <v>1297</v>
      </c>
    </row>
    <row r="323" customFormat="false" ht="35.05" hidden="false" customHeight="false" outlineLevel="0" collapsed="false">
      <c r="A323" s="15" t="s">
        <v>189</v>
      </c>
      <c r="B323" s="16" t="s">
        <v>236</v>
      </c>
      <c r="C323" s="16" t="s">
        <v>619</v>
      </c>
      <c r="D323" s="15" t="s">
        <v>196</v>
      </c>
      <c r="E323" s="16" t="s">
        <v>624</v>
      </c>
      <c r="F323" s="15" t="n">
        <v>1</v>
      </c>
      <c r="G323" s="16" t="s">
        <v>17</v>
      </c>
      <c r="H323" s="15" t="s">
        <v>621</v>
      </c>
      <c r="I323" s="16" t="s">
        <v>1298</v>
      </c>
      <c r="J323" s="16" t="s">
        <v>1299</v>
      </c>
    </row>
    <row r="324" customFormat="false" ht="35.05" hidden="false" customHeight="false" outlineLevel="0" collapsed="false">
      <c r="A324" s="15" t="s">
        <v>189</v>
      </c>
      <c r="B324" s="16" t="s">
        <v>236</v>
      </c>
      <c r="C324" s="16" t="s">
        <v>619</v>
      </c>
      <c r="D324" s="15" t="s">
        <v>42</v>
      </c>
      <c r="E324" s="16" t="s">
        <v>701</v>
      </c>
      <c r="F324" s="15" t="n">
        <v>2</v>
      </c>
      <c r="G324" s="16" t="s">
        <v>17</v>
      </c>
      <c r="H324" s="15" t="s">
        <v>627</v>
      </c>
      <c r="I324" s="16" t="s">
        <v>236</v>
      </c>
      <c r="J324" s="16" t="s">
        <v>1300</v>
      </c>
    </row>
    <row r="325" customFormat="false" ht="35.05" hidden="false" customHeight="false" outlineLevel="0" collapsed="false">
      <c r="A325" s="15" t="s">
        <v>189</v>
      </c>
      <c r="B325" s="16" t="s">
        <v>236</v>
      </c>
      <c r="C325" s="16" t="s">
        <v>619</v>
      </c>
      <c r="D325" s="15" t="s">
        <v>220</v>
      </c>
      <c r="E325" s="16" t="s">
        <v>646</v>
      </c>
      <c r="F325" s="15" t="n">
        <v>10</v>
      </c>
      <c r="G325" s="16" t="s">
        <v>17</v>
      </c>
      <c r="H325" s="15" t="s">
        <v>654</v>
      </c>
      <c r="I325" s="16" t="s">
        <v>1301</v>
      </c>
      <c r="J325" s="16" t="s">
        <v>1302</v>
      </c>
    </row>
    <row r="326" customFormat="false" ht="35.05" hidden="false" customHeight="false" outlineLevel="0" collapsed="false">
      <c r="A326" s="15" t="s">
        <v>189</v>
      </c>
      <c r="B326" s="16" t="s">
        <v>236</v>
      </c>
      <c r="C326" s="16" t="s">
        <v>619</v>
      </c>
      <c r="D326" s="15" t="s">
        <v>48</v>
      </c>
      <c r="E326" s="16" t="s">
        <v>751</v>
      </c>
      <c r="F326" s="15" t="n">
        <v>2</v>
      </c>
      <c r="G326" s="16" t="s">
        <v>17</v>
      </c>
      <c r="H326" s="15" t="s">
        <v>627</v>
      </c>
      <c r="I326" s="16" t="s">
        <v>1303</v>
      </c>
      <c r="J326" s="16" t="s">
        <v>1304</v>
      </c>
    </row>
    <row r="327" customFormat="false" ht="35.05" hidden="false" customHeight="false" outlineLevel="0" collapsed="false">
      <c r="A327" s="15" t="s">
        <v>189</v>
      </c>
      <c r="B327" s="16" t="s">
        <v>236</v>
      </c>
      <c r="C327" s="16" t="s">
        <v>619</v>
      </c>
      <c r="D327" s="15" t="s">
        <v>100</v>
      </c>
      <c r="E327" s="16" t="s">
        <v>878</v>
      </c>
      <c r="F327" s="15" t="n">
        <v>1</v>
      </c>
      <c r="G327" s="16" t="s">
        <v>17</v>
      </c>
      <c r="H327" s="15" t="s">
        <v>621</v>
      </c>
      <c r="I327" s="16" t="s">
        <v>1305</v>
      </c>
      <c r="J327" s="16" t="s">
        <v>1306</v>
      </c>
    </row>
    <row r="328" customFormat="false" ht="35.05" hidden="false" customHeight="false" outlineLevel="0" collapsed="false">
      <c r="A328" s="15" t="s">
        <v>189</v>
      </c>
      <c r="B328" s="16" t="s">
        <v>236</v>
      </c>
      <c r="C328" s="16" t="s">
        <v>619</v>
      </c>
      <c r="D328" s="15" t="s">
        <v>570</v>
      </c>
      <c r="E328" s="16" t="s">
        <v>730</v>
      </c>
      <c r="F328" s="15" t="n">
        <v>2</v>
      </c>
      <c r="G328" s="16" t="s">
        <v>17</v>
      </c>
      <c r="H328" s="15" t="s">
        <v>627</v>
      </c>
      <c r="I328" s="16" t="s">
        <v>236</v>
      </c>
      <c r="J328" s="16" t="s">
        <v>1307</v>
      </c>
    </row>
    <row r="329" customFormat="false" ht="35.05" hidden="false" customHeight="false" outlineLevel="0" collapsed="false">
      <c r="A329" s="15" t="s">
        <v>189</v>
      </c>
      <c r="B329" s="16" t="s">
        <v>236</v>
      </c>
      <c r="C329" s="16" t="s">
        <v>619</v>
      </c>
      <c r="D329" s="15" t="s">
        <v>571</v>
      </c>
      <c r="E329" s="16" t="s">
        <v>637</v>
      </c>
      <c r="F329" s="15" t="n">
        <v>1</v>
      </c>
      <c r="G329" s="16" t="s">
        <v>17</v>
      </c>
      <c r="H329" s="15" t="s">
        <v>621</v>
      </c>
      <c r="I329" s="16" t="s">
        <v>236</v>
      </c>
      <c r="J329" s="16" t="s">
        <v>1308</v>
      </c>
    </row>
    <row r="330" customFormat="false" ht="35.05" hidden="false" customHeight="false" outlineLevel="0" collapsed="false">
      <c r="A330" s="15" t="s">
        <v>189</v>
      </c>
      <c r="B330" s="16" t="s">
        <v>236</v>
      </c>
      <c r="C330" s="16" t="s">
        <v>619</v>
      </c>
      <c r="D330" s="15" t="s">
        <v>573</v>
      </c>
      <c r="E330" s="16" t="s">
        <v>923</v>
      </c>
      <c r="F330" s="15" t="n">
        <v>3</v>
      </c>
      <c r="G330" s="16" t="s">
        <v>17</v>
      </c>
      <c r="H330" s="15" t="s">
        <v>627</v>
      </c>
      <c r="I330" s="16" t="s">
        <v>1309</v>
      </c>
      <c r="J330" s="16" t="s">
        <v>1310</v>
      </c>
    </row>
    <row r="331" customFormat="false" ht="35.05" hidden="false" customHeight="false" outlineLevel="0" collapsed="false">
      <c r="A331" s="15" t="s">
        <v>189</v>
      </c>
      <c r="B331" s="16" t="s">
        <v>236</v>
      </c>
      <c r="C331" s="16" t="s">
        <v>619</v>
      </c>
      <c r="D331" s="15" t="s">
        <v>294</v>
      </c>
      <c r="E331" s="16" t="s">
        <v>640</v>
      </c>
      <c r="F331" s="15" t="n">
        <v>2</v>
      </c>
      <c r="G331" s="16" t="s">
        <v>17</v>
      </c>
      <c r="H331" s="15" t="s">
        <v>627</v>
      </c>
      <c r="I331" s="16" t="s">
        <v>236</v>
      </c>
      <c r="J331" s="16" t="s">
        <v>1311</v>
      </c>
    </row>
    <row r="332" customFormat="false" ht="35.05" hidden="false" customHeight="false" outlineLevel="0" collapsed="false">
      <c r="A332" s="15" t="s">
        <v>189</v>
      </c>
      <c r="B332" s="16" t="s">
        <v>236</v>
      </c>
      <c r="C332" s="16" t="s">
        <v>619</v>
      </c>
      <c r="D332" s="15" t="s">
        <v>574</v>
      </c>
      <c r="E332" s="16" t="s">
        <v>732</v>
      </c>
      <c r="F332" s="15" t="n">
        <v>1</v>
      </c>
      <c r="G332" s="16" t="s">
        <v>17</v>
      </c>
      <c r="H332" s="15" t="s">
        <v>621</v>
      </c>
      <c r="I332" s="16" t="s">
        <v>236</v>
      </c>
      <c r="J332" s="16" t="s">
        <v>1312</v>
      </c>
    </row>
    <row r="333" customFormat="false" ht="35.05" hidden="false" customHeight="false" outlineLevel="0" collapsed="false">
      <c r="A333" s="15" t="s">
        <v>189</v>
      </c>
      <c r="B333" s="16" t="s">
        <v>236</v>
      </c>
      <c r="C333" s="16" t="s">
        <v>619</v>
      </c>
      <c r="D333" s="15" t="s">
        <v>296</v>
      </c>
      <c r="E333" s="16" t="s">
        <v>714</v>
      </c>
      <c r="F333" s="15" t="n">
        <v>1</v>
      </c>
      <c r="G333" s="16" t="s">
        <v>17</v>
      </c>
      <c r="H333" s="15" t="s">
        <v>621</v>
      </c>
      <c r="I333" s="16" t="s">
        <v>236</v>
      </c>
      <c r="J333" s="16" t="s">
        <v>1313</v>
      </c>
    </row>
    <row r="334" customFormat="false" ht="35.05" hidden="false" customHeight="false" outlineLevel="0" collapsed="false">
      <c r="A334" s="15" t="s">
        <v>189</v>
      </c>
      <c r="B334" s="16" t="s">
        <v>236</v>
      </c>
      <c r="C334" s="16" t="s">
        <v>619</v>
      </c>
      <c r="D334" s="15" t="s">
        <v>578</v>
      </c>
      <c r="E334" s="16" t="s">
        <v>666</v>
      </c>
      <c r="F334" s="15" t="n">
        <v>8</v>
      </c>
      <c r="G334" s="16" t="s">
        <v>17</v>
      </c>
      <c r="H334" s="15" t="s">
        <v>654</v>
      </c>
      <c r="I334" s="16" t="s">
        <v>1303</v>
      </c>
      <c r="J334" s="16" t="s">
        <v>1314</v>
      </c>
    </row>
    <row r="335" customFormat="false" ht="35.05" hidden="false" customHeight="false" outlineLevel="0" collapsed="false">
      <c r="A335" s="15" t="s">
        <v>189</v>
      </c>
      <c r="B335" s="16" t="s">
        <v>236</v>
      </c>
      <c r="C335" s="16" t="s">
        <v>619</v>
      </c>
      <c r="D335" s="15" t="s">
        <v>235</v>
      </c>
      <c r="E335" s="16" t="s">
        <v>1204</v>
      </c>
      <c r="F335" s="15" t="n">
        <v>1</v>
      </c>
      <c r="G335" s="16" t="s">
        <v>17</v>
      </c>
      <c r="H335" s="15" t="s">
        <v>621</v>
      </c>
      <c r="I335" s="16" t="s">
        <v>236</v>
      </c>
      <c r="J335" s="16" t="s">
        <v>1315</v>
      </c>
    </row>
    <row r="336" customFormat="false" ht="35.05" hidden="false" customHeight="false" outlineLevel="0" collapsed="false">
      <c r="A336" s="15" t="s">
        <v>189</v>
      </c>
      <c r="B336" s="16" t="s">
        <v>236</v>
      </c>
      <c r="C336" s="16" t="s">
        <v>619</v>
      </c>
      <c r="D336" s="15" t="s">
        <v>504</v>
      </c>
      <c r="E336" s="16" t="s">
        <v>1316</v>
      </c>
      <c r="F336" s="15" t="n">
        <v>1</v>
      </c>
      <c r="G336" s="16" t="s">
        <v>17</v>
      </c>
      <c r="H336" s="15" t="s">
        <v>621</v>
      </c>
      <c r="I336" s="16" t="s">
        <v>236</v>
      </c>
      <c r="J336" s="16" t="s">
        <v>1317</v>
      </c>
    </row>
    <row r="337" customFormat="false" ht="35.05" hidden="false" customHeight="false" outlineLevel="0" collapsed="false">
      <c r="A337" s="15" t="s">
        <v>189</v>
      </c>
      <c r="B337" s="16" t="s">
        <v>236</v>
      </c>
      <c r="C337" s="16" t="s">
        <v>619</v>
      </c>
      <c r="D337" s="15" t="s">
        <v>538</v>
      </c>
      <c r="E337" s="16" t="s">
        <v>1318</v>
      </c>
      <c r="F337" s="15" t="n">
        <v>5</v>
      </c>
      <c r="G337" s="16" t="s">
        <v>17</v>
      </c>
      <c r="H337" s="15" t="s">
        <v>654</v>
      </c>
      <c r="I337" s="16" t="s">
        <v>1319</v>
      </c>
      <c r="J337" s="16" t="s">
        <v>1320</v>
      </c>
    </row>
    <row r="338" customFormat="false" ht="35.05" hidden="false" customHeight="false" outlineLevel="0" collapsed="false">
      <c r="A338" s="15" t="s">
        <v>189</v>
      </c>
      <c r="B338" s="16" t="s">
        <v>236</v>
      </c>
      <c r="C338" s="16" t="s">
        <v>619</v>
      </c>
      <c r="D338" s="15" t="s">
        <v>596</v>
      </c>
      <c r="E338" s="16" t="s">
        <v>1321</v>
      </c>
      <c r="F338" s="15" t="n">
        <v>2</v>
      </c>
      <c r="G338" s="16" t="s">
        <v>17</v>
      </c>
      <c r="H338" s="15" t="s">
        <v>627</v>
      </c>
      <c r="I338" s="16" t="s">
        <v>1322</v>
      </c>
      <c r="J338" s="16" t="s">
        <v>1323</v>
      </c>
    </row>
    <row r="339" customFormat="false" ht="35.05" hidden="false" customHeight="false" outlineLevel="0" collapsed="false">
      <c r="A339" s="15" t="s">
        <v>189</v>
      </c>
      <c r="B339" s="16" t="s">
        <v>236</v>
      </c>
      <c r="C339" s="16" t="s">
        <v>1324</v>
      </c>
      <c r="D339" s="15" t="s">
        <v>538</v>
      </c>
      <c r="E339" s="16" t="s">
        <v>1318</v>
      </c>
      <c r="F339" s="15" t="n">
        <v>2</v>
      </c>
      <c r="G339" s="16" t="s">
        <v>17</v>
      </c>
      <c r="H339" s="15" t="s">
        <v>627</v>
      </c>
      <c r="I339" s="16" t="s">
        <v>1325</v>
      </c>
      <c r="J339" s="16" t="s">
        <v>1326</v>
      </c>
    </row>
    <row r="340" customFormat="false" ht="35.05" hidden="false" customHeight="false" outlineLevel="0" collapsed="false">
      <c r="A340" s="15" t="s">
        <v>189</v>
      </c>
      <c r="B340" s="16" t="s">
        <v>236</v>
      </c>
      <c r="C340" s="16" t="s">
        <v>1327</v>
      </c>
      <c r="D340" s="15" t="s">
        <v>241</v>
      </c>
      <c r="E340" s="16" t="s">
        <v>1037</v>
      </c>
      <c r="F340" s="15" t="n">
        <v>1</v>
      </c>
      <c r="G340" s="16" t="s">
        <v>17</v>
      </c>
      <c r="H340" s="15" t="s">
        <v>621</v>
      </c>
      <c r="I340" s="16" t="s">
        <v>1328</v>
      </c>
      <c r="J340" s="16" t="s">
        <v>1329</v>
      </c>
    </row>
    <row r="341" customFormat="false" ht="35.05" hidden="false" customHeight="false" outlineLevel="0" collapsed="false">
      <c r="A341" s="15" t="s">
        <v>189</v>
      </c>
      <c r="B341" s="16" t="s">
        <v>242</v>
      </c>
      <c r="C341" s="16" t="s">
        <v>619</v>
      </c>
      <c r="D341" s="15" t="s">
        <v>398</v>
      </c>
      <c r="E341" s="16" t="s">
        <v>641</v>
      </c>
      <c r="F341" s="15" t="n">
        <v>1</v>
      </c>
      <c r="G341" s="16" t="s">
        <v>17</v>
      </c>
      <c r="H341" s="15" t="s">
        <v>621</v>
      </c>
      <c r="I341" s="16" t="s">
        <v>1330</v>
      </c>
      <c r="J341" s="16" t="s">
        <v>1331</v>
      </c>
    </row>
    <row r="342" customFormat="false" ht="35.05" hidden="false" customHeight="false" outlineLevel="0" collapsed="false">
      <c r="A342" s="15" t="s">
        <v>189</v>
      </c>
      <c r="B342" s="16" t="s">
        <v>242</v>
      </c>
      <c r="C342" s="16" t="s">
        <v>619</v>
      </c>
      <c r="D342" s="15" t="s">
        <v>220</v>
      </c>
      <c r="E342" s="16" t="s">
        <v>646</v>
      </c>
      <c r="F342" s="15" t="n">
        <v>1</v>
      </c>
      <c r="G342" s="16" t="s">
        <v>17</v>
      </c>
      <c r="H342" s="15" t="s">
        <v>621</v>
      </c>
      <c r="I342" s="16" t="s">
        <v>1332</v>
      </c>
      <c r="J342" s="16" t="s">
        <v>1333</v>
      </c>
    </row>
    <row r="343" customFormat="false" ht="57.45" hidden="false" customHeight="false" outlineLevel="0" collapsed="false">
      <c r="A343" s="15" t="s">
        <v>189</v>
      </c>
      <c r="B343" s="16" t="s">
        <v>242</v>
      </c>
      <c r="C343" s="16" t="s">
        <v>619</v>
      </c>
      <c r="D343" s="15" t="s">
        <v>571</v>
      </c>
      <c r="E343" s="16" t="s">
        <v>637</v>
      </c>
      <c r="F343" s="15" t="n">
        <v>9</v>
      </c>
      <c r="G343" s="16" t="s">
        <v>1334</v>
      </c>
      <c r="H343" s="15" t="s">
        <v>654</v>
      </c>
      <c r="I343" s="16" t="s">
        <v>1335</v>
      </c>
      <c r="J343" s="16" t="s">
        <v>1336</v>
      </c>
    </row>
    <row r="344" customFormat="false" ht="35.05" hidden="false" customHeight="false" outlineLevel="0" collapsed="false">
      <c r="A344" s="15" t="s">
        <v>189</v>
      </c>
      <c r="B344" s="16" t="s">
        <v>242</v>
      </c>
      <c r="C344" s="16" t="s">
        <v>619</v>
      </c>
      <c r="D344" s="15" t="s">
        <v>573</v>
      </c>
      <c r="E344" s="16" t="s">
        <v>923</v>
      </c>
      <c r="F344" s="15" t="n">
        <v>5</v>
      </c>
      <c r="G344" s="16" t="s">
        <v>17</v>
      </c>
      <c r="H344" s="15" t="s">
        <v>654</v>
      </c>
      <c r="I344" s="16" t="s">
        <v>1337</v>
      </c>
      <c r="J344" s="16" t="s">
        <v>1338</v>
      </c>
    </row>
    <row r="345" customFormat="false" ht="35.05" hidden="false" customHeight="false" outlineLevel="0" collapsed="false">
      <c r="A345" s="15" t="s">
        <v>189</v>
      </c>
      <c r="B345" s="16" t="s">
        <v>242</v>
      </c>
      <c r="C345" s="16" t="s">
        <v>619</v>
      </c>
      <c r="D345" s="15" t="s">
        <v>451</v>
      </c>
      <c r="E345" s="16" t="s">
        <v>672</v>
      </c>
      <c r="F345" s="15" t="n">
        <v>16</v>
      </c>
      <c r="G345" s="16" t="s">
        <v>17</v>
      </c>
      <c r="H345" s="15" t="s">
        <v>654</v>
      </c>
      <c r="I345" s="16" t="s">
        <v>1339</v>
      </c>
      <c r="J345" s="16" t="s">
        <v>1340</v>
      </c>
    </row>
    <row r="346" customFormat="false" ht="35.05" hidden="false" customHeight="false" outlineLevel="0" collapsed="false">
      <c r="A346" s="15" t="s">
        <v>189</v>
      </c>
      <c r="B346" s="16" t="s">
        <v>246</v>
      </c>
      <c r="C346" s="16" t="s">
        <v>619</v>
      </c>
      <c r="D346" s="15" t="s">
        <v>42</v>
      </c>
      <c r="E346" s="16" t="s">
        <v>701</v>
      </c>
      <c r="F346" s="15" t="n">
        <v>4</v>
      </c>
      <c r="G346" s="16" t="s">
        <v>17</v>
      </c>
      <c r="H346" s="15" t="s">
        <v>627</v>
      </c>
      <c r="I346" s="16" t="s">
        <v>1341</v>
      </c>
      <c r="J346" s="16" t="s">
        <v>1342</v>
      </c>
    </row>
    <row r="347" customFormat="false" ht="35.05" hidden="false" customHeight="false" outlineLevel="0" collapsed="false">
      <c r="A347" s="15" t="s">
        <v>189</v>
      </c>
      <c r="B347" s="16" t="s">
        <v>246</v>
      </c>
      <c r="C347" s="16" t="s">
        <v>619</v>
      </c>
      <c r="D347" s="15" t="s">
        <v>573</v>
      </c>
      <c r="E347" s="16" t="s">
        <v>923</v>
      </c>
      <c r="F347" s="15" t="n">
        <v>1</v>
      </c>
      <c r="G347" s="16" t="s">
        <v>17</v>
      </c>
      <c r="H347" s="15" t="s">
        <v>621</v>
      </c>
      <c r="I347" s="16" t="s">
        <v>1341</v>
      </c>
      <c r="J347" s="16" t="s">
        <v>1343</v>
      </c>
    </row>
    <row r="348" customFormat="false" ht="35.05" hidden="false" customHeight="false" outlineLevel="0" collapsed="false">
      <c r="A348" s="15" t="s">
        <v>189</v>
      </c>
      <c r="B348" s="16" t="s">
        <v>246</v>
      </c>
      <c r="C348" s="16" t="s">
        <v>619</v>
      </c>
      <c r="D348" s="15" t="s">
        <v>294</v>
      </c>
      <c r="E348" s="16" t="s">
        <v>640</v>
      </c>
      <c r="F348" s="15" t="n">
        <v>8</v>
      </c>
      <c r="G348" s="16" t="s">
        <v>17</v>
      </c>
      <c r="H348" s="15" t="s">
        <v>654</v>
      </c>
      <c r="I348" s="16" t="s">
        <v>1344</v>
      </c>
      <c r="J348" s="16" t="s">
        <v>1345</v>
      </c>
    </row>
    <row r="349" customFormat="false" ht="35.05" hidden="false" customHeight="false" outlineLevel="0" collapsed="false">
      <c r="A349" s="15" t="s">
        <v>189</v>
      </c>
      <c r="B349" s="16" t="s">
        <v>246</v>
      </c>
      <c r="C349" s="16" t="s">
        <v>619</v>
      </c>
      <c r="D349" s="15" t="s">
        <v>574</v>
      </c>
      <c r="E349" s="16" t="s">
        <v>732</v>
      </c>
      <c r="F349" s="15" t="n">
        <v>8</v>
      </c>
      <c r="G349" s="16" t="s">
        <v>17</v>
      </c>
      <c r="H349" s="15" t="s">
        <v>654</v>
      </c>
      <c r="I349" s="16" t="s">
        <v>1344</v>
      </c>
      <c r="J349" s="16" t="s">
        <v>1345</v>
      </c>
    </row>
    <row r="350" customFormat="false" ht="35.05" hidden="false" customHeight="false" outlineLevel="0" collapsed="false">
      <c r="A350" s="15" t="s">
        <v>189</v>
      </c>
      <c r="B350" s="16" t="s">
        <v>246</v>
      </c>
      <c r="C350" s="16" t="s">
        <v>619</v>
      </c>
      <c r="D350" s="15" t="s">
        <v>584</v>
      </c>
      <c r="E350" s="16" t="s">
        <v>1131</v>
      </c>
      <c r="F350" s="15" t="n">
        <v>2</v>
      </c>
      <c r="G350" s="16" t="s">
        <v>17</v>
      </c>
      <c r="H350" s="15" t="s">
        <v>627</v>
      </c>
      <c r="I350" s="16" t="s">
        <v>1346</v>
      </c>
      <c r="J350" s="16" t="s">
        <v>1347</v>
      </c>
    </row>
    <row r="351" customFormat="false" ht="35.05" hidden="false" customHeight="false" outlineLevel="0" collapsed="false">
      <c r="A351" s="15" t="s">
        <v>189</v>
      </c>
      <c r="B351" s="16" t="s">
        <v>246</v>
      </c>
      <c r="C351" s="16" t="s">
        <v>250</v>
      </c>
      <c r="D351" s="15" t="s">
        <v>562</v>
      </c>
      <c r="E351" s="16" t="s">
        <v>716</v>
      </c>
      <c r="F351" s="15" t="n">
        <v>1</v>
      </c>
      <c r="G351" s="16" t="s">
        <v>17</v>
      </c>
      <c r="H351" s="15" t="s">
        <v>621</v>
      </c>
      <c r="I351" s="16" t="s">
        <v>1348</v>
      </c>
      <c r="J351" s="16" t="s">
        <v>1349</v>
      </c>
    </row>
    <row r="352" customFormat="false" ht="35.05" hidden="false" customHeight="false" outlineLevel="0" collapsed="false">
      <c r="A352" s="15" t="s">
        <v>189</v>
      </c>
      <c r="B352" s="16" t="s">
        <v>246</v>
      </c>
      <c r="C352" s="16" t="s">
        <v>250</v>
      </c>
      <c r="D352" s="15" t="s">
        <v>294</v>
      </c>
      <c r="E352" s="16" t="s">
        <v>640</v>
      </c>
      <c r="F352" s="15" t="n">
        <v>2</v>
      </c>
      <c r="G352" s="16" t="s">
        <v>17</v>
      </c>
      <c r="H352" s="15" t="s">
        <v>627</v>
      </c>
      <c r="I352" s="16" t="s">
        <v>1350</v>
      </c>
      <c r="J352" s="16" t="s">
        <v>1351</v>
      </c>
    </row>
    <row r="353" customFormat="false" ht="35.05" hidden="false" customHeight="false" outlineLevel="0" collapsed="false">
      <c r="A353" s="15" t="s">
        <v>189</v>
      </c>
      <c r="B353" s="16" t="s">
        <v>246</v>
      </c>
      <c r="C353" s="16" t="s">
        <v>250</v>
      </c>
      <c r="D353" s="15" t="s">
        <v>574</v>
      </c>
      <c r="E353" s="16" t="s">
        <v>732</v>
      </c>
      <c r="F353" s="15" t="n">
        <v>2</v>
      </c>
      <c r="G353" s="16" t="s">
        <v>17</v>
      </c>
      <c r="H353" s="15" t="s">
        <v>627</v>
      </c>
      <c r="I353" s="16" t="s">
        <v>1350</v>
      </c>
      <c r="J353" s="16" t="s">
        <v>1351</v>
      </c>
    </row>
    <row r="354" customFormat="false" ht="35.05" hidden="false" customHeight="false" outlineLevel="0" collapsed="false">
      <c r="A354" s="15" t="s">
        <v>189</v>
      </c>
      <c r="B354" s="16" t="s">
        <v>246</v>
      </c>
      <c r="C354" s="16" t="s">
        <v>250</v>
      </c>
      <c r="D354" s="15" t="s">
        <v>578</v>
      </c>
      <c r="E354" s="16" t="s">
        <v>666</v>
      </c>
      <c r="F354" s="15" t="n">
        <v>1</v>
      </c>
      <c r="G354" s="16" t="s">
        <v>17</v>
      </c>
      <c r="H354" s="15" t="s">
        <v>621</v>
      </c>
      <c r="I354" s="16" t="s">
        <v>1348</v>
      </c>
      <c r="J354" s="16" t="s">
        <v>1352</v>
      </c>
    </row>
    <row r="355" customFormat="false" ht="35.05" hidden="false" customHeight="false" outlineLevel="0" collapsed="false">
      <c r="A355" s="15" t="s">
        <v>189</v>
      </c>
      <c r="B355" s="16" t="s">
        <v>251</v>
      </c>
      <c r="C355" s="16" t="s">
        <v>619</v>
      </c>
      <c r="D355" s="15" t="s">
        <v>571</v>
      </c>
      <c r="E355" s="16" t="s">
        <v>637</v>
      </c>
      <c r="F355" s="15" t="n">
        <v>1</v>
      </c>
      <c r="G355" s="16" t="s">
        <v>17</v>
      </c>
      <c r="H355" s="15" t="s">
        <v>621</v>
      </c>
      <c r="I355" s="16" t="s">
        <v>1353</v>
      </c>
      <c r="J355" s="16" t="s">
        <v>1354</v>
      </c>
    </row>
    <row r="356" customFormat="false" ht="35.05" hidden="false" customHeight="false" outlineLevel="0" collapsed="false">
      <c r="A356" s="15" t="s">
        <v>189</v>
      </c>
      <c r="B356" s="16" t="s">
        <v>251</v>
      </c>
      <c r="C356" s="16" t="s">
        <v>619</v>
      </c>
      <c r="D356" s="15" t="s">
        <v>578</v>
      </c>
      <c r="E356" s="16" t="s">
        <v>666</v>
      </c>
      <c r="F356" s="15" t="n">
        <v>2</v>
      </c>
      <c r="G356" s="16" t="s">
        <v>17</v>
      </c>
      <c r="H356" s="15" t="s">
        <v>627</v>
      </c>
      <c r="I356" s="16" t="s">
        <v>1353</v>
      </c>
      <c r="J356" s="16" t="s">
        <v>1355</v>
      </c>
    </row>
    <row r="357" customFormat="false" ht="35.05" hidden="false" customHeight="false" outlineLevel="0" collapsed="false">
      <c r="A357" s="15" t="s">
        <v>189</v>
      </c>
      <c r="B357" s="16" t="s">
        <v>251</v>
      </c>
      <c r="C357" s="16" t="s">
        <v>619</v>
      </c>
      <c r="D357" s="15" t="s">
        <v>508</v>
      </c>
      <c r="E357" s="16" t="s">
        <v>831</v>
      </c>
      <c r="F357" s="15" t="n">
        <v>1</v>
      </c>
      <c r="G357" s="16" t="s">
        <v>17</v>
      </c>
      <c r="H357" s="15" t="s">
        <v>621</v>
      </c>
      <c r="I357" s="16" t="s">
        <v>1353</v>
      </c>
      <c r="J357" s="16" t="s">
        <v>1356</v>
      </c>
    </row>
    <row r="358" customFormat="false" ht="35.05" hidden="false" customHeight="false" outlineLevel="0" collapsed="false">
      <c r="A358" s="15" t="s">
        <v>189</v>
      </c>
      <c r="B358" s="16" t="s">
        <v>254</v>
      </c>
      <c r="C358" s="16" t="s">
        <v>619</v>
      </c>
      <c r="D358" s="15" t="s">
        <v>508</v>
      </c>
      <c r="E358" s="16" t="s">
        <v>831</v>
      </c>
      <c r="F358" s="15" t="n">
        <v>3</v>
      </c>
      <c r="G358" s="16" t="s">
        <v>17</v>
      </c>
      <c r="H358" s="15" t="s">
        <v>627</v>
      </c>
      <c r="I358" s="16" t="s">
        <v>1357</v>
      </c>
      <c r="J358" s="16" t="s">
        <v>1358</v>
      </c>
    </row>
    <row r="359" customFormat="false" ht="35.05" hidden="false" customHeight="false" outlineLevel="0" collapsed="false">
      <c r="A359" s="15" t="s">
        <v>189</v>
      </c>
      <c r="B359" s="16" t="s">
        <v>254</v>
      </c>
      <c r="C359" s="16" t="s">
        <v>619</v>
      </c>
      <c r="D359" s="15" t="s">
        <v>587</v>
      </c>
      <c r="E359" s="16" t="s">
        <v>833</v>
      </c>
      <c r="F359" s="15" t="n">
        <v>1</v>
      </c>
      <c r="G359" s="16" t="s">
        <v>17</v>
      </c>
      <c r="H359" s="15" t="s">
        <v>621</v>
      </c>
      <c r="I359" s="16" t="s">
        <v>1359</v>
      </c>
      <c r="J359" s="16" t="s">
        <v>1360</v>
      </c>
    </row>
    <row r="360" customFormat="false" ht="35.05" hidden="false" customHeight="false" outlineLevel="0" collapsed="false">
      <c r="A360" s="15" t="s">
        <v>189</v>
      </c>
      <c r="B360" s="16" t="s">
        <v>257</v>
      </c>
      <c r="C360" s="16" t="s">
        <v>619</v>
      </c>
      <c r="D360" s="15" t="s">
        <v>196</v>
      </c>
      <c r="E360" s="16" t="s">
        <v>624</v>
      </c>
      <c r="F360" s="15" t="n">
        <v>14</v>
      </c>
      <c r="G360" s="16" t="s">
        <v>257</v>
      </c>
      <c r="H360" s="15" t="s">
        <v>654</v>
      </c>
      <c r="I360" s="16" t="s">
        <v>1361</v>
      </c>
      <c r="J360" s="16" t="s">
        <v>1362</v>
      </c>
    </row>
    <row r="361" customFormat="false" ht="35.05" hidden="false" customHeight="false" outlineLevel="0" collapsed="false">
      <c r="A361" s="15" t="s">
        <v>189</v>
      </c>
      <c r="B361" s="16" t="s">
        <v>257</v>
      </c>
      <c r="C361" s="16" t="s">
        <v>619</v>
      </c>
      <c r="D361" s="15" t="s">
        <v>571</v>
      </c>
      <c r="E361" s="16" t="s">
        <v>637</v>
      </c>
      <c r="F361" s="15" t="n">
        <v>2</v>
      </c>
      <c r="G361" s="16" t="s">
        <v>17</v>
      </c>
      <c r="H361" s="15" t="s">
        <v>627</v>
      </c>
      <c r="I361" s="16" t="s">
        <v>1361</v>
      </c>
      <c r="J361" s="16" t="s">
        <v>1363</v>
      </c>
    </row>
    <row r="362" customFormat="false" ht="35.05" hidden="false" customHeight="false" outlineLevel="0" collapsed="false">
      <c r="A362" s="15" t="s">
        <v>189</v>
      </c>
      <c r="B362" s="16" t="s">
        <v>257</v>
      </c>
      <c r="C362" s="16" t="s">
        <v>619</v>
      </c>
      <c r="D362" s="15" t="s">
        <v>266</v>
      </c>
      <c r="E362" s="16" t="s">
        <v>685</v>
      </c>
      <c r="F362" s="15" t="n">
        <v>38</v>
      </c>
      <c r="G362" s="16" t="s">
        <v>1364</v>
      </c>
      <c r="H362" s="15" t="s">
        <v>654</v>
      </c>
      <c r="I362" s="16" t="s">
        <v>1365</v>
      </c>
      <c r="J362" s="16" t="s">
        <v>1366</v>
      </c>
    </row>
    <row r="363" customFormat="false" ht="35.05" hidden="false" customHeight="false" outlineLevel="0" collapsed="false">
      <c r="A363" s="15" t="s">
        <v>189</v>
      </c>
      <c r="B363" s="16" t="s">
        <v>257</v>
      </c>
      <c r="C363" s="16" t="s">
        <v>619</v>
      </c>
      <c r="D363" s="15" t="s">
        <v>294</v>
      </c>
      <c r="E363" s="16" t="s">
        <v>640</v>
      </c>
      <c r="F363" s="15" t="n">
        <v>6</v>
      </c>
      <c r="G363" s="16" t="s">
        <v>17</v>
      </c>
      <c r="H363" s="15" t="s">
        <v>654</v>
      </c>
      <c r="I363" s="16" t="s">
        <v>1361</v>
      </c>
      <c r="J363" s="16" t="s">
        <v>1367</v>
      </c>
    </row>
    <row r="364" customFormat="false" ht="35.05" hidden="false" customHeight="false" outlineLevel="0" collapsed="false">
      <c r="A364" s="15" t="s">
        <v>189</v>
      </c>
      <c r="B364" s="16" t="s">
        <v>257</v>
      </c>
      <c r="C364" s="16" t="s">
        <v>619</v>
      </c>
      <c r="D364" s="15" t="s">
        <v>575</v>
      </c>
      <c r="E364" s="16" t="s">
        <v>950</v>
      </c>
      <c r="F364" s="15" t="n">
        <v>1</v>
      </c>
      <c r="G364" s="16" t="s">
        <v>17</v>
      </c>
      <c r="H364" s="15" t="s">
        <v>621</v>
      </c>
      <c r="I364" s="16" t="s">
        <v>1361</v>
      </c>
      <c r="J364" s="16" t="s">
        <v>1368</v>
      </c>
    </row>
    <row r="365" customFormat="false" ht="35.05" hidden="false" customHeight="false" outlineLevel="0" collapsed="false">
      <c r="A365" s="15" t="s">
        <v>189</v>
      </c>
      <c r="B365" s="16" t="s">
        <v>257</v>
      </c>
      <c r="C365" s="16" t="s">
        <v>619</v>
      </c>
      <c r="D365" s="15" t="s">
        <v>576</v>
      </c>
      <c r="E365" s="16" t="s">
        <v>953</v>
      </c>
      <c r="F365" s="15" t="n">
        <v>1</v>
      </c>
      <c r="G365" s="16" t="s">
        <v>17</v>
      </c>
      <c r="H365" s="15" t="s">
        <v>621</v>
      </c>
      <c r="I365" s="16" t="s">
        <v>1361</v>
      </c>
      <c r="J365" s="16" t="s">
        <v>1369</v>
      </c>
    </row>
    <row r="366" customFormat="false" ht="35.05" hidden="false" customHeight="false" outlineLevel="0" collapsed="false">
      <c r="A366" s="15" t="s">
        <v>189</v>
      </c>
      <c r="B366" s="16" t="s">
        <v>257</v>
      </c>
      <c r="C366" s="16" t="s">
        <v>619</v>
      </c>
      <c r="D366" s="15" t="s">
        <v>577</v>
      </c>
      <c r="E366" s="16" t="s">
        <v>1111</v>
      </c>
      <c r="F366" s="15" t="n">
        <v>2</v>
      </c>
      <c r="G366" s="16" t="s">
        <v>17</v>
      </c>
      <c r="H366" s="15" t="s">
        <v>627</v>
      </c>
      <c r="I366" s="16" t="s">
        <v>1361</v>
      </c>
      <c r="J366" s="16" t="s">
        <v>1370</v>
      </c>
    </row>
    <row r="367" customFormat="false" ht="35.05" hidden="false" customHeight="false" outlineLevel="0" collapsed="false">
      <c r="A367" s="15" t="s">
        <v>189</v>
      </c>
      <c r="B367" s="16" t="s">
        <v>257</v>
      </c>
      <c r="C367" s="16" t="s">
        <v>619</v>
      </c>
      <c r="D367" s="15" t="s">
        <v>451</v>
      </c>
      <c r="E367" s="16" t="s">
        <v>672</v>
      </c>
      <c r="F367" s="15" t="n">
        <v>1</v>
      </c>
      <c r="G367" s="16" t="s">
        <v>17</v>
      </c>
      <c r="H367" s="15" t="s">
        <v>621</v>
      </c>
      <c r="I367" s="16" t="s">
        <v>1361</v>
      </c>
      <c r="J367" s="16" t="s">
        <v>1371</v>
      </c>
    </row>
    <row r="368" customFormat="false" ht="35.05" hidden="false" customHeight="false" outlineLevel="0" collapsed="false">
      <c r="A368" s="15" t="s">
        <v>189</v>
      </c>
      <c r="B368" s="16" t="s">
        <v>257</v>
      </c>
      <c r="C368" s="16" t="s">
        <v>619</v>
      </c>
      <c r="D368" s="15" t="s">
        <v>589</v>
      </c>
      <c r="E368" s="16" t="s">
        <v>1372</v>
      </c>
      <c r="F368" s="15" t="n">
        <v>1</v>
      </c>
      <c r="G368" s="16" t="s">
        <v>17</v>
      </c>
      <c r="H368" s="15" t="s">
        <v>621</v>
      </c>
      <c r="I368" s="16" t="s">
        <v>1373</v>
      </c>
      <c r="J368" s="16" t="s">
        <v>1374</v>
      </c>
    </row>
    <row r="369" customFormat="false" ht="35.05" hidden="false" customHeight="false" outlineLevel="0" collapsed="false">
      <c r="A369" s="15" t="s">
        <v>189</v>
      </c>
      <c r="B369" s="16" t="s">
        <v>257</v>
      </c>
      <c r="C369" s="16" t="s">
        <v>619</v>
      </c>
      <c r="D369" s="15" t="s">
        <v>599</v>
      </c>
      <c r="E369" s="16" t="s">
        <v>854</v>
      </c>
      <c r="F369" s="15" t="n">
        <v>6</v>
      </c>
      <c r="G369" s="16" t="s">
        <v>17</v>
      </c>
      <c r="H369" s="15" t="s">
        <v>654</v>
      </c>
      <c r="I369" s="16" t="s">
        <v>1361</v>
      </c>
      <c r="J369" s="16" t="s">
        <v>1375</v>
      </c>
    </row>
    <row r="370" customFormat="false" ht="35.05" hidden="false" customHeight="false" outlineLevel="0" collapsed="false">
      <c r="A370" s="15" t="s">
        <v>189</v>
      </c>
      <c r="B370" s="16" t="s">
        <v>257</v>
      </c>
      <c r="C370" s="16" t="s">
        <v>619</v>
      </c>
      <c r="D370" s="15" t="s">
        <v>600</v>
      </c>
      <c r="E370" s="16" t="s">
        <v>630</v>
      </c>
      <c r="F370" s="15" t="n">
        <v>1</v>
      </c>
      <c r="G370" s="16" t="s">
        <v>17</v>
      </c>
      <c r="H370" s="15" t="s">
        <v>621</v>
      </c>
      <c r="I370" s="16" t="s">
        <v>1361</v>
      </c>
      <c r="J370" s="16" t="s">
        <v>1376</v>
      </c>
    </row>
    <row r="371" customFormat="false" ht="46.25" hidden="false" customHeight="false" outlineLevel="0" collapsed="false">
      <c r="A371" s="15" t="s">
        <v>189</v>
      </c>
      <c r="B371" s="16" t="s">
        <v>257</v>
      </c>
      <c r="C371" s="16" t="s">
        <v>619</v>
      </c>
      <c r="D371" s="15" t="s">
        <v>467</v>
      </c>
      <c r="E371" s="16" t="s">
        <v>1201</v>
      </c>
      <c r="F371" s="15" t="n">
        <v>1</v>
      </c>
      <c r="G371" s="16" t="s">
        <v>17</v>
      </c>
      <c r="H371" s="15" t="s">
        <v>621</v>
      </c>
      <c r="I371" s="16" t="s">
        <v>1361</v>
      </c>
      <c r="J371" s="16" t="s">
        <v>1377</v>
      </c>
    </row>
    <row r="372" customFormat="false" ht="35.05" hidden="false" customHeight="false" outlineLevel="0" collapsed="false">
      <c r="A372" s="15" t="s">
        <v>189</v>
      </c>
      <c r="B372" s="16" t="s">
        <v>257</v>
      </c>
      <c r="C372" s="16" t="s">
        <v>1378</v>
      </c>
      <c r="D372" s="15" t="s">
        <v>575</v>
      </c>
      <c r="E372" s="16" t="s">
        <v>950</v>
      </c>
      <c r="F372" s="15" t="n">
        <v>1</v>
      </c>
      <c r="G372" s="16" t="s">
        <v>17</v>
      </c>
      <c r="H372" s="15" t="s">
        <v>621</v>
      </c>
      <c r="I372" s="16" t="s">
        <v>1379</v>
      </c>
      <c r="J372" s="16" t="s">
        <v>1380</v>
      </c>
    </row>
    <row r="373" customFormat="false" ht="35.05" hidden="false" customHeight="false" outlineLevel="0" collapsed="false">
      <c r="A373" s="15" t="s">
        <v>189</v>
      </c>
      <c r="B373" s="16" t="s">
        <v>257</v>
      </c>
      <c r="C373" s="16" t="s">
        <v>1378</v>
      </c>
      <c r="D373" s="15" t="s">
        <v>576</v>
      </c>
      <c r="E373" s="16" t="s">
        <v>953</v>
      </c>
      <c r="F373" s="15" t="n">
        <v>1</v>
      </c>
      <c r="G373" s="16" t="s">
        <v>17</v>
      </c>
      <c r="H373" s="15" t="s">
        <v>621</v>
      </c>
      <c r="I373" s="16" t="s">
        <v>1379</v>
      </c>
      <c r="J373" s="16" t="s">
        <v>1380</v>
      </c>
    </row>
    <row r="374" customFormat="false" ht="35.05" hidden="false" customHeight="false" outlineLevel="0" collapsed="false">
      <c r="A374" s="15" t="s">
        <v>189</v>
      </c>
      <c r="B374" s="16" t="s">
        <v>257</v>
      </c>
      <c r="C374" s="16" t="s">
        <v>1381</v>
      </c>
      <c r="D374" s="15" t="s">
        <v>266</v>
      </c>
      <c r="E374" s="16" t="s">
        <v>685</v>
      </c>
      <c r="F374" s="15" t="n">
        <v>6</v>
      </c>
      <c r="G374" s="16" t="s">
        <v>17</v>
      </c>
      <c r="H374" s="15" t="s">
        <v>654</v>
      </c>
      <c r="I374" s="16" t="s">
        <v>1382</v>
      </c>
      <c r="J374" s="16" t="s">
        <v>1383</v>
      </c>
    </row>
    <row r="375" customFormat="false" ht="35.05" hidden="false" customHeight="false" outlineLevel="0" collapsed="false">
      <c r="A375" s="15" t="s">
        <v>189</v>
      </c>
      <c r="B375" s="16" t="s">
        <v>257</v>
      </c>
      <c r="C375" s="16" t="s">
        <v>1384</v>
      </c>
      <c r="D375" s="15" t="s">
        <v>28</v>
      </c>
      <c r="E375" s="16" t="s">
        <v>652</v>
      </c>
      <c r="F375" s="15" t="n">
        <v>2</v>
      </c>
      <c r="G375" s="16" t="s">
        <v>17</v>
      </c>
      <c r="H375" s="15" t="s">
        <v>627</v>
      </c>
      <c r="I375" s="16" t="s">
        <v>1385</v>
      </c>
      <c r="J375" s="16" t="s">
        <v>1386</v>
      </c>
    </row>
    <row r="376" customFormat="false" ht="46.25" hidden="false" customHeight="false" outlineLevel="0" collapsed="false">
      <c r="A376" s="15" t="s">
        <v>189</v>
      </c>
      <c r="B376" s="16" t="s">
        <v>257</v>
      </c>
      <c r="C376" s="16" t="s">
        <v>1384</v>
      </c>
      <c r="D376" s="15" t="s">
        <v>266</v>
      </c>
      <c r="E376" s="16" t="s">
        <v>685</v>
      </c>
      <c r="F376" s="15" t="n">
        <v>3</v>
      </c>
      <c r="G376" s="16" t="s">
        <v>1387</v>
      </c>
      <c r="H376" s="15" t="s">
        <v>654</v>
      </c>
      <c r="I376" s="16" t="s">
        <v>1388</v>
      </c>
      <c r="J376" s="16" t="s">
        <v>1389</v>
      </c>
    </row>
    <row r="377" customFormat="false" ht="35.05" hidden="false" customHeight="false" outlineLevel="0" collapsed="false">
      <c r="A377" s="15" t="s">
        <v>189</v>
      </c>
      <c r="B377" s="16" t="s">
        <v>257</v>
      </c>
      <c r="C377" s="16" t="s">
        <v>1390</v>
      </c>
      <c r="D377" s="15" t="s">
        <v>28</v>
      </c>
      <c r="E377" s="16" t="s">
        <v>652</v>
      </c>
      <c r="F377" s="15" t="n">
        <v>2</v>
      </c>
      <c r="G377" s="16" t="s">
        <v>17</v>
      </c>
      <c r="H377" s="15" t="s">
        <v>627</v>
      </c>
      <c r="I377" s="16" t="s">
        <v>1391</v>
      </c>
      <c r="J377" s="16" t="s">
        <v>1392</v>
      </c>
    </row>
    <row r="378" customFormat="false" ht="35.05" hidden="false" customHeight="false" outlineLevel="0" collapsed="false">
      <c r="A378" s="15" t="s">
        <v>189</v>
      </c>
      <c r="B378" s="16" t="s">
        <v>257</v>
      </c>
      <c r="C378" s="16" t="s">
        <v>1390</v>
      </c>
      <c r="D378" s="15" t="s">
        <v>266</v>
      </c>
      <c r="E378" s="16" t="s">
        <v>685</v>
      </c>
      <c r="F378" s="15" t="n">
        <v>2</v>
      </c>
      <c r="G378" s="16" t="s">
        <v>17</v>
      </c>
      <c r="H378" s="15" t="s">
        <v>627</v>
      </c>
      <c r="I378" s="16" t="s">
        <v>1391</v>
      </c>
      <c r="J378" s="16" t="s">
        <v>1393</v>
      </c>
    </row>
    <row r="379" customFormat="false" ht="35.05" hidden="false" customHeight="false" outlineLevel="0" collapsed="false">
      <c r="A379" s="15" t="s">
        <v>189</v>
      </c>
      <c r="B379" s="16" t="s">
        <v>257</v>
      </c>
      <c r="C379" s="16" t="s">
        <v>1390</v>
      </c>
      <c r="D379" s="15" t="s">
        <v>574</v>
      </c>
      <c r="E379" s="16" t="s">
        <v>732</v>
      </c>
      <c r="F379" s="15" t="n">
        <v>1</v>
      </c>
      <c r="G379" s="16" t="s">
        <v>17</v>
      </c>
      <c r="H379" s="15" t="s">
        <v>621</v>
      </c>
      <c r="I379" s="16" t="s">
        <v>1391</v>
      </c>
      <c r="J379" s="16" t="s">
        <v>1394</v>
      </c>
    </row>
    <row r="380" customFormat="false" ht="35.05" hidden="false" customHeight="false" outlineLevel="0" collapsed="false">
      <c r="A380" s="15" t="s">
        <v>189</v>
      </c>
      <c r="B380" s="16" t="s">
        <v>257</v>
      </c>
      <c r="C380" s="16" t="s">
        <v>1390</v>
      </c>
      <c r="D380" s="15" t="s">
        <v>575</v>
      </c>
      <c r="E380" s="16" t="s">
        <v>950</v>
      </c>
      <c r="F380" s="15" t="n">
        <v>1</v>
      </c>
      <c r="G380" s="16" t="s">
        <v>17</v>
      </c>
      <c r="H380" s="15" t="s">
        <v>621</v>
      </c>
      <c r="I380" s="16" t="s">
        <v>1391</v>
      </c>
      <c r="J380" s="16" t="s">
        <v>1395</v>
      </c>
    </row>
    <row r="381" customFormat="false" ht="35.05" hidden="false" customHeight="false" outlineLevel="0" collapsed="false">
      <c r="A381" s="15" t="s">
        <v>189</v>
      </c>
      <c r="B381" s="16" t="s">
        <v>257</v>
      </c>
      <c r="C381" s="16" t="s">
        <v>1390</v>
      </c>
      <c r="D381" s="15" t="s">
        <v>296</v>
      </c>
      <c r="E381" s="16" t="s">
        <v>714</v>
      </c>
      <c r="F381" s="15" t="n">
        <v>1</v>
      </c>
      <c r="G381" s="16" t="s">
        <v>17</v>
      </c>
      <c r="H381" s="15" t="s">
        <v>621</v>
      </c>
      <c r="I381" s="16" t="s">
        <v>1396</v>
      </c>
      <c r="J381" s="16" t="s">
        <v>1397</v>
      </c>
    </row>
    <row r="382" customFormat="false" ht="35.05" hidden="false" customHeight="false" outlineLevel="0" collapsed="false">
      <c r="A382" s="15" t="s">
        <v>189</v>
      </c>
      <c r="B382" s="16" t="s">
        <v>257</v>
      </c>
      <c r="C382" s="16" t="s">
        <v>1390</v>
      </c>
      <c r="D382" s="15" t="s">
        <v>155</v>
      </c>
      <c r="E382" s="16" t="s">
        <v>851</v>
      </c>
      <c r="F382" s="15" t="n">
        <v>3</v>
      </c>
      <c r="G382" s="16" t="s">
        <v>17</v>
      </c>
      <c r="H382" s="15" t="s">
        <v>627</v>
      </c>
      <c r="I382" s="16" t="s">
        <v>1398</v>
      </c>
      <c r="J382" s="16" t="s">
        <v>1399</v>
      </c>
    </row>
    <row r="383" customFormat="false" ht="35.05" hidden="false" customHeight="false" outlineLevel="0" collapsed="false">
      <c r="A383" s="15" t="s">
        <v>189</v>
      </c>
      <c r="B383" s="16" t="s">
        <v>257</v>
      </c>
      <c r="C383" s="16" t="s">
        <v>1390</v>
      </c>
      <c r="D383" s="15" t="s">
        <v>170</v>
      </c>
      <c r="E383" s="16" t="s">
        <v>800</v>
      </c>
      <c r="F383" s="15" t="n">
        <v>1</v>
      </c>
      <c r="G383" s="16" t="s">
        <v>17</v>
      </c>
      <c r="H383" s="15" t="s">
        <v>621</v>
      </c>
      <c r="I383" s="16" t="s">
        <v>1391</v>
      </c>
      <c r="J383" s="16" t="s">
        <v>1400</v>
      </c>
    </row>
    <row r="384" customFormat="false" ht="35.05" hidden="false" customHeight="false" outlineLevel="0" collapsed="false">
      <c r="A384" s="15" t="s">
        <v>189</v>
      </c>
      <c r="B384" s="16" t="s">
        <v>263</v>
      </c>
      <c r="C384" s="16" t="s">
        <v>619</v>
      </c>
      <c r="D384" s="15" t="s">
        <v>196</v>
      </c>
      <c r="E384" s="16" t="s">
        <v>624</v>
      </c>
      <c r="F384" s="15" t="n">
        <v>1</v>
      </c>
      <c r="G384" s="16" t="s">
        <v>17</v>
      </c>
      <c r="H384" s="15" t="s">
        <v>621</v>
      </c>
      <c r="I384" s="16" t="s">
        <v>1401</v>
      </c>
      <c r="J384" s="16" t="s">
        <v>1402</v>
      </c>
    </row>
    <row r="385" customFormat="false" ht="35.05" hidden="false" customHeight="false" outlineLevel="0" collapsed="false">
      <c r="A385" s="15" t="s">
        <v>189</v>
      </c>
      <c r="B385" s="16" t="s">
        <v>263</v>
      </c>
      <c r="C385" s="16" t="s">
        <v>619</v>
      </c>
      <c r="D385" s="15" t="s">
        <v>42</v>
      </c>
      <c r="E385" s="16" t="s">
        <v>701</v>
      </c>
      <c r="F385" s="15" t="n">
        <v>1</v>
      </c>
      <c r="G385" s="16" t="s">
        <v>17</v>
      </c>
      <c r="H385" s="15" t="s">
        <v>621</v>
      </c>
      <c r="I385" s="16" t="s">
        <v>1403</v>
      </c>
      <c r="J385" s="16" t="s">
        <v>1404</v>
      </c>
    </row>
    <row r="386" customFormat="false" ht="35.05" hidden="false" customHeight="false" outlineLevel="0" collapsed="false">
      <c r="A386" s="15" t="s">
        <v>189</v>
      </c>
      <c r="B386" s="16" t="s">
        <v>263</v>
      </c>
      <c r="C386" s="16" t="s">
        <v>619</v>
      </c>
      <c r="D386" s="15" t="s">
        <v>38</v>
      </c>
      <c r="E386" s="16" t="s">
        <v>696</v>
      </c>
      <c r="F386" s="15" t="n">
        <v>1</v>
      </c>
      <c r="G386" s="16" t="s">
        <v>17</v>
      </c>
      <c r="H386" s="15" t="s">
        <v>621</v>
      </c>
      <c r="I386" s="16" t="s">
        <v>1405</v>
      </c>
      <c r="J386" s="16" t="s">
        <v>1406</v>
      </c>
    </row>
    <row r="387" customFormat="false" ht="35.05" hidden="false" customHeight="false" outlineLevel="0" collapsed="false">
      <c r="A387" s="15" t="s">
        <v>189</v>
      </c>
      <c r="B387" s="16" t="s">
        <v>263</v>
      </c>
      <c r="C387" s="16" t="s">
        <v>619</v>
      </c>
      <c r="D387" s="15" t="s">
        <v>266</v>
      </c>
      <c r="E387" s="16" t="s">
        <v>685</v>
      </c>
      <c r="F387" s="15" t="n">
        <v>27</v>
      </c>
      <c r="G387" s="16" t="s">
        <v>1407</v>
      </c>
      <c r="H387" s="15" t="s">
        <v>654</v>
      </c>
      <c r="I387" s="16" t="s">
        <v>1408</v>
      </c>
      <c r="J387" s="16" t="s">
        <v>1409</v>
      </c>
    </row>
    <row r="388" customFormat="false" ht="35.05" hidden="false" customHeight="false" outlineLevel="0" collapsed="false">
      <c r="A388" s="15" t="s">
        <v>189</v>
      </c>
      <c r="B388" s="16" t="s">
        <v>263</v>
      </c>
      <c r="C388" s="16" t="s">
        <v>619</v>
      </c>
      <c r="D388" s="15" t="s">
        <v>602</v>
      </c>
      <c r="E388" s="16" t="s">
        <v>1040</v>
      </c>
      <c r="F388" s="15" t="n">
        <v>1</v>
      </c>
      <c r="G388" s="16" t="s">
        <v>17</v>
      </c>
      <c r="H388" s="15" t="s">
        <v>621</v>
      </c>
      <c r="I388" s="16" t="s">
        <v>1410</v>
      </c>
      <c r="J388" s="16" t="s">
        <v>1411</v>
      </c>
    </row>
    <row r="389" customFormat="false" ht="35.05" hidden="false" customHeight="false" outlineLevel="0" collapsed="false">
      <c r="A389" s="15" t="s">
        <v>189</v>
      </c>
      <c r="B389" s="16" t="s">
        <v>263</v>
      </c>
      <c r="C389" s="16" t="s">
        <v>267</v>
      </c>
      <c r="D389" s="15" t="s">
        <v>266</v>
      </c>
      <c r="E389" s="16" t="s">
        <v>685</v>
      </c>
      <c r="F389" s="15" t="n">
        <v>3</v>
      </c>
      <c r="G389" s="16" t="s">
        <v>1412</v>
      </c>
      <c r="H389" s="15" t="s">
        <v>654</v>
      </c>
      <c r="I389" s="16" t="s">
        <v>1413</v>
      </c>
      <c r="J389" s="16" t="s">
        <v>1414</v>
      </c>
    </row>
    <row r="390" customFormat="false" ht="35.05" hidden="false" customHeight="false" outlineLevel="0" collapsed="false">
      <c r="A390" s="15" t="s">
        <v>189</v>
      </c>
      <c r="B390" s="16" t="s">
        <v>263</v>
      </c>
      <c r="C390" s="16" t="s">
        <v>267</v>
      </c>
      <c r="D390" s="15" t="s">
        <v>268</v>
      </c>
      <c r="E390" s="16" t="s">
        <v>821</v>
      </c>
      <c r="F390" s="15" t="n">
        <v>1</v>
      </c>
      <c r="G390" s="16" t="s">
        <v>17</v>
      </c>
      <c r="H390" s="15" t="s">
        <v>621</v>
      </c>
      <c r="I390" s="16" t="s">
        <v>1413</v>
      </c>
      <c r="J390" s="16" t="s">
        <v>1415</v>
      </c>
    </row>
    <row r="391" customFormat="false" ht="35.05" hidden="false" customHeight="false" outlineLevel="0" collapsed="false">
      <c r="A391" s="15" t="s">
        <v>189</v>
      </c>
      <c r="B391" s="16" t="s">
        <v>269</v>
      </c>
      <c r="C391" s="16" t="s">
        <v>619</v>
      </c>
      <c r="D391" s="15" t="s">
        <v>266</v>
      </c>
      <c r="E391" s="16" t="s">
        <v>685</v>
      </c>
      <c r="F391" s="15" t="n">
        <v>4</v>
      </c>
      <c r="G391" s="16" t="s">
        <v>17</v>
      </c>
      <c r="H391" s="15" t="s">
        <v>627</v>
      </c>
      <c r="I391" s="16" t="s">
        <v>1416</v>
      </c>
      <c r="J391" s="16" t="s">
        <v>1417</v>
      </c>
    </row>
    <row r="392" customFormat="false" ht="35.05" hidden="false" customHeight="false" outlineLevel="0" collapsed="false">
      <c r="A392" s="15" t="s">
        <v>189</v>
      </c>
      <c r="B392" s="16" t="s">
        <v>269</v>
      </c>
      <c r="C392" s="16" t="s">
        <v>619</v>
      </c>
      <c r="D392" s="15" t="s">
        <v>451</v>
      </c>
      <c r="E392" s="16" t="s">
        <v>672</v>
      </c>
      <c r="F392" s="15" t="n">
        <v>1</v>
      </c>
      <c r="G392" s="16" t="s">
        <v>17</v>
      </c>
      <c r="H392" s="15" t="s">
        <v>621</v>
      </c>
      <c r="I392" s="16" t="s">
        <v>1418</v>
      </c>
      <c r="J392" s="16" t="s">
        <v>1419</v>
      </c>
    </row>
    <row r="393" customFormat="false" ht="35.05" hidden="false" customHeight="false" outlineLevel="0" collapsed="false">
      <c r="A393" s="15" t="s">
        <v>189</v>
      </c>
      <c r="B393" s="16" t="s">
        <v>269</v>
      </c>
      <c r="C393" s="16" t="s">
        <v>619</v>
      </c>
      <c r="D393" s="15" t="s">
        <v>179</v>
      </c>
      <c r="E393" s="16" t="s">
        <v>693</v>
      </c>
      <c r="F393" s="15" t="n">
        <v>2</v>
      </c>
      <c r="G393" s="16" t="s">
        <v>17</v>
      </c>
      <c r="H393" s="15" t="s">
        <v>627</v>
      </c>
      <c r="I393" s="16" t="s">
        <v>1418</v>
      </c>
      <c r="J393" s="16" t="s">
        <v>1420</v>
      </c>
    </row>
    <row r="394" customFormat="false" ht="35.05" hidden="false" customHeight="false" outlineLevel="0" collapsed="false">
      <c r="A394" s="15" t="s">
        <v>189</v>
      </c>
      <c r="B394" s="16" t="s">
        <v>269</v>
      </c>
      <c r="C394" s="16" t="s">
        <v>619</v>
      </c>
      <c r="D394" s="15" t="s">
        <v>605</v>
      </c>
      <c r="E394" s="16" t="s">
        <v>1042</v>
      </c>
      <c r="F394" s="15" t="n">
        <v>1</v>
      </c>
      <c r="G394" s="16" t="s">
        <v>17</v>
      </c>
      <c r="H394" s="15" t="s">
        <v>621</v>
      </c>
      <c r="I394" s="16" t="s">
        <v>1418</v>
      </c>
      <c r="J394" s="16" t="s">
        <v>1421</v>
      </c>
    </row>
    <row r="395" customFormat="false" ht="35.05" hidden="false" customHeight="false" outlineLevel="0" collapsed="false">
      <c r="A395" s="15" t="s">
        <v>189</v>
      </c>
      <c r="B395" s="16" t="s">
        <v>272</v>
      </c>
      <c r="C395" s="16" t="s">
        <v>619</v>
      </c>
      <c r="D395" s="15" t="s">
        <v>562</v>
      </c>
      <c r="E395" s="16" t="s">
        <v>716</v>
      </c>
      <c r="F395" s="15" t="n">
        <v>1</v>
      </c>
      <c r="G395" s="16" t="s">
        <v>17</v>
      </c>
      <c r="H395" s="15" t="s">
        <v>621</v>
      </c>
      <c r="I395" s="16" t="s">
        <v>1422</v>
      </c>
      <c r="J395" s="16" t="s">
        <v>1423</v>
      </c>
    </row>
    <row r="396" customFormat="false" ht="35.05" hidden="false" customHeight="false" outlineLevel="0" collapsed="false">
      <c r="A396" s="15" t="s">
        <v>189</v>
      </c>
      <c r="B396" s="16" t="s">
        <v>272</v>
      </c>
      <c r="C396" s="16" t="s">
        <v>619</v>
      </c>
      <c r="D396" s="15" t="s">
        <v>196</v>
      </c>
      <c r="E396" s="16" t="s">
        <v>624</v>
      </c>
      <c r="F396" s="15" t="n">
        <v>2</v>
      </c>
      <c r="G396" s="16" t="s">
        <v>17</v>
      </c>
      <c r="H396" s="15" t="s">
        <v>627</v>
      </c>
      <c r="I396" s="16" t="s">
        <v>1422</v>
      </c>
      <c r="J396" s="16" t="s">
        <v>1424</v>
      </c>
    </row>
    <row r="397" customFormat="false" ht="35.05" hidden="false" customHeight="false" outlineLevel="0" collapsed="false">
      <c r="A397" s="15" t="s">
        <v>189</v>
      </c>
      <c r="B397" s="16" t="s">
        <v>272</v>
      </c>
      <c r="C397" s="16" t="s">
        <v>619</v>
      </c>
      <c r="D397" s="15" t="s">
        <v>220</v>
      </c>
      <c r="E397" s="16" t="s">
        <v>646</v>
      </c>
      <c r="F397" s="15" t="n">
        <v>1</v>
      </c>
      <c r="G397" s="16" t="s">
        <v>17</v>
      </c>
      <c r="H397" s="15" t="s">
        <v>621</v>
      </c>
      <c r="I397" s="16" t="s">
        <v>1422</v>
      </c>
      <c r="J397" s="16" t="s">
        <v>1425</v>
      </c>
    </row>
    <row r="398" customFormat="false" ht="35.05" hidden="false" customHeight="false" outlineLevel="0" collapsed="false">
      <c r="A398" s="15" t="s">
        <v>189</v>
      </c>
      <c r="B398" s="16" t="s">
        <v>272</v>
      </c>
      <c r="C398" s="16" t="s">
        <v>619</v>
      </c>
      <c r="D398" s="15" t="s">
        <v>570</v>
      </c>
      <c r="E398" s="16" t="s">
        <v>730</v>
      </c>
      <c r="F398" s="15" t="n">
        <v>2</v>
      </c>
      <c r="G398" s="16" t="s">
        <v>17</v>
      </c>
      <c r="H398" s="15" t="s">
        <v>627</v>
      </c>
      <c r="I398" s="16" t="s">
        <v>1422</v>
      </c>
      <c r="J398" s="16" t="s">
        <v>1426</v>
      </c>
    </row>
    <row r="399" customFormat="false" ht="35.05" hidden="false" customHeight="false" outlineLevel="0" collapsed="false">
      <c r="A399" s="15" t="s">
        <v>189</v>
      </c>
      <c r="B399" s="16" t="s">
        <v>272</v>
      </c>
      <c r="C399" s="16" t="s">
        <v>619</v>
      </c>
      <c r="D399" s="15" t="s">
        <v>296</v>
      </c>
      <c r="E399" s="16" t="s">
        <v>714</v>
      </c>
      <c r="F399" s="15" t="n">
        <v>2</v>
      </c>
      <c r="G399" s="16" t="s">
        <v>17</v>
      </c>
      <c r="H399" s="15" t="s">
        <v>627</v>
      </c>
      <c r="I399" s="16" t="s">
        <v>1422</v>
      </c>
      <c r="J399" s="16" t="s">
        <v>1427</v>
      </c>
    </row>
    <row r="400" customFormat="false" ht="35.05" hidden="false" customHeight="false" outlineLevel="0" collapsed="false">
      <c r="A400" s="15" t="s">
        <v>189</v>
      </c>
      <c r="B400" s="16" t="s">
        <v>272</v>
      </c>
      <c r="C400" s="16" t="s">
        <v>619</v>
      </c>
      <c r="D400" s="15" t="s">
        <v>578</v>
      </c>
      <c r="E400" s="16" t="s">
        <v>666</v>
      </c>
      <c r="F400" s="15" t="n">
        <v>1</v>
      </c>
      <c r="G400" s="16" t="s">
        <v>17</v>
      </c>
      <c r="H400" s="15" t="s">
        <v>621</v>
      </c>
      <c r="I400" s="16" t="s">
        <v>1422</v>
      </c>
      <c r="J400" s="16" t="s">
        <v>1428</v>
      </c>
    </row>
    <row r="401" customFormat="false" ht="35.05" hidden="false" customHeight="false" outlineLevel="0" collapsed="false">
      <c r="A401" s="15" t="s">
        <v>189</v>
      </c>
      <c r="B401" s="16" t="s">
        <v>272</v>
      </c>
      <c r="C401" s="16" t="s">
        <v>619</v>
      </c>
      <c r="D401" s="15" t="s">
        <v>469</v>
      </c>
      <c r="E401" s="16" t="s">
        <v>1183</v>
      </c>
      <c r="F401" s="15" t="n">
        <v>1</v>
      </c>
      <c r="G401" s="16" t="s">
        <v>17</v>
      </c>
      <c r="H401" s="15" t="s">
        <v>621</v>
      </c>
      <c r="I401" s="16" t="s">
        <v>1422</v>
      </c>
      <c r="J401" s="16" t="s">
        <v>1429</v>
      </c>
    </row>
    <row r="402" customFormat="false" ht="35.05" hidden="false" customHeight="false" outlineLevel="0" collapsed="false">
      <c r="A402" s="15" t="s">
        <v>189</v>
      </c>
      <c r="B402" s="16" t="s">
        <v>272</v>
      </c>
      <c r="C402" s="16" t="s">
        <v>619</v>
      </c>
      <c r="D402" s="15" t="s">
        <v>416</v>
      </c>
      <c r="E402" s="16" t="s">
        <v>1430</v>
      </c>
      <c r="F402" s="15" t="n">
        <v>1</v>
      </c>
      <c r="G402" s="16" t="s">
        <v>17</v>
      </c>
      <c r="H402" s="15" t="s">
        <v>621</v>
      </c>
      <c r="I402" s="16" t="s">
        <v>1422</v>
      </c>
      <c r="J402" s="16" t="s">
        <v>1431</v>
      </c>
    </row>
    <row r="403" customFormat="false" ht="35.05" hidden="false" customHeight="false" outlineLevel="0" collapsed="false">
      <c r="A403" s="15" t="s">
        <v>189</v>
      </c>
      <c r="B403" s="16" t="s">
        <v>272</v>
      </c>
      <c r="C403" s="16" t="s">
        <v>619</v>
      </c>
      <c r="D403" s="15" t="s">
        <v>594</v>
      </c>
      <c r="E403" s="16" t="s">
        <v>941</v>
      </c>
      <c r="F403" s="15" t="n">
        <v>1</v>
      </c>
      <c r="G403" s="16" t="s">
        <v>17</v>
      </c>
      <c r="H403" s="15" t="s">
        <v>621</v>
      </c>
      <c r="I403" s="16" t="s">
        <v>1422</v>
      </c>
      <c r="J403" s="16" t="s">
        <v>1432</v>
      </c>
    </row>
    <row r="404" customFormat="false" ht="35.05" hidden="false" customHeight="false" outlineLevel="0" collapsed="false">
      <c r="A404" s="15" t="s">
        <v>189</v>
      </c>
      <c r="B404" s="16" t="s">
        <v>272</v>
      </c>
      <c r="C404" s="16" t="s">
        <v>275</v>
      </c>
      <c r="D404" s="15" t="s">
        <v>578</v>
      </c>
      <c r="E404" s="16" t="s">
        <v>666</v>
      </c>
      <c r="F404" s="15" t="n">
        <v>1</v>
      </c>
      <c r="G404" s="16" t="s">
        <v>17</v>
      </c>
      <c r="H404" s="15" t="s">
        <v>621</v>
      </c>
      <c r="I404" s="16" t="s">
        <v>1433</v>
      </c>
      <c r="J404" s="16" t="s">
        <v>1434</v>
      </c>
    </row>
    <row r="405" customFormat="false" ht="35.05" hidden="false" customHeight="false" outlineLevel="0" collapsed="false">
      <c r="A405" s="15" t="s">
        <v>189</v>
      </c>
      <c r="B405" s="16" t="s">
        <v>272</v>
      </c>
      <c r="C405" s="16" t="s">
        <v>275</v>
      </c>
      <c r="D405" s="15" t="s">
        <v>469</v>
      </c>
      <c r="E405" s="16" t="s">
        <v>1183</v>
      </c>
      <c r="F405" s="15" t="n">
        <v>1</v>
      </c>
      <c r="G405" s="16" t="s">
        <v>17</v>
      </c>
      <c r="H405" s="15" t="s">
        <v>621</v>
      </c>
      <c r="I405" s="16" t="s">
        <v>1435</v>
      </c>
      <c r="J405" s="16" t="s">
        <v>1436</v>
      </c>
    </row>
    <row r="406" customFormat="false" ht="35.05" hidden="false" customHeight="false" outlineLevel="0" collapsed="false">
      <c r="A406" s="15" t="s">
        <v>189</v>
      </c>
      <c r="B406" s="16" t="s">
        <v>276</v>
      </c>
      <c r="C406" s="16" t="s">
        <v>619</v>
      </c>
      <c r="D406" s="15" t="s">
        <v>42</v>
      </c>
      <c r="E406" s="16" t="s">
        <v>701</v>
      </c>
      <c r="F406" s="15" t="n">
        <v>2</v>
      </c>
      <c r="G406" s="16" t="s">
        <v>17</v>
      </c>
      <c r="H406" s="15" t="s">
        <v>627</v>
      </c>
      <c r="I406" s="16" t="s">
        <v>1437</v>
      </c>
      <c r="J406" s="16" t="s">
        <v>1438</v>
      </c>
    </row>
    <row r="407" customFormat="false" ht="35.05" hidden="false" customHeight="false" outlineLevel="0" collapsed="false">
      <c r="A407" s="15" t="s">
        <v>189</v>
      </c>
      <c r="B407" s="16" t="s">
        <v>276</v>
      </c>
      <c r="C407" s="16" t="s">
        <v>619</v>
      </c>
      <c r="D407" s="15" t="s">
        <v>38</v>
      </c>
      <c r="E407" s="16" t="s">
        <v>696</v>
      </c>
      <c r="F407" s="15" t="n">
        <v>1</v>
      </c>
      <c r="G407" s="16" t="s">
        <v>17</v>
      </c>
      <c r="H407" s="15" t="s">
        <v>621</v>
      </c>
      <c r="I407" s="16" t="s">
        <v>1439</v>
      </c>
      <c r="J407" s="16" t="s">
        <v>1440</v>
      </c>
    </row>
    <row r="408" customFormat="false" ht="35.05" hidden="false" customHeight="false" outlineLevel="0" collapsed="false">
      <c r="A408" s="15" t="s">
        <v>189</v>
      </c>
      <c r="B408" s="16" t="s">
        <v>276</v>
      </c>
      <c r="C408" s="16" t="s">
        <v>619</v>
      </c>
      <c r="D408" s="15" t="s">
        <v>227</v>
      </c>
      <c r="E408" s="16" t="s">
        <v>819</v>
      </c>
      <c r="F408" s="15" t="n">
        <v>3</v>
      </c>
      <c r="G408" s="16" t="s">
        <v>1441</v>
      </c>
      <c r="H408" s="15" t="s">
        <v>654</v>
      </c>
      <c r="I408" s="16" t="s">
        <v>1442</v>
      </c>
      <c r="J408" s="16" t="s">
        <v>1443</v>
      </c>
    </row>
    <row r="409" customFormat="false" ht="46.25" hidden="false" customHeight="false" outlineLevel="0" collapsed="false">
      <c r="A409" s="15" t="s">
        <v>189</v>
      </c>
      <c r="B409" s="16" t="s">
        <v>276</v>
      </c>
      <c r="C409" s="16" t="s">
        <v>619</v>
      </c>
      <c r="D409" s="15" t="s">
        <v>145</v>
      </c>
      <c r="E409" s="16" t="s">
        <v>1013</v>
      </c>
      <c r="F409" s="15" t="n">
        <v>1</v>
      </c>
      <c r="G409" s="16" t="s">
        <v>17</v>
      </c>
      <c r="H409" s="15" t="s">
        <v>621</v>
      </c>
      <c r="I409" s="16" t="s">
        <v>1437</v>
      </c>
      <c r="J409" s="16" t="s">
        <v>1444</v>
      </c>
    </row>
    <row r="410" customFormat="false" ht="35.05" hidden="false" customHeight="false" outlineLevel="0" collapsed="false">
      <c r="A410" s="15" t="s">
        <v>189</v>
      </c>
      <c r="B410" s="16" t="s">
        <v>276</v>
      </c>
      <c r="C410" s="16" t="s">
        <v>619</v>
      </c>
      <c r="D410" s="15" t="s">
        <v>598</v>
      </c>
      <c r="E410" s="16" t="s">
        <v>1445</v>
      </c>
      <c r="F410" s="15" t="n">
        <v>1</v>
      </c>
      <c r="G410" s="16" t="s">
        <v>17</v>
      </c>
      <c r="H410" s="15" t="s">
        <v>621</v>
      </c>
      <c r="I410" s="16" t="s">
        <v>1439</v>
      </c>
      <c r="J410" s="16" t="s">
        <v>1446</v>
      </c>
    </row>
    <row r="411" customFormat="false" ht="35.05" hidden="false" customHeight="false" outlineLevel="0" collapsed="false">
      <c r="A411" s="15" t="s">
        <v>189</v>
      </c>
      <c r="B411" s="16" t="s">
        <v>279</v>
      </c>
      <c r="C411" s="16" t="s">
        <v>619</v>
      </c>
      <c r="D411" s="15" t="s">
        <v>562</v>
      </c>
      <c r="E411" s="16" t="s">
        <v>716</v>
      </c>
      <c r="F411" s="15" t="n">
        <v>1</v>
      </c>
      <c r="G411" s="16" t="s">
        <v>17</v>
      </c>
      <c r="H411" s="15" t="s">
        <v>621</v>
      </c>
      <c r="I411" s="16" t="s">
        <v>1447</v>
      </c>
      <c r="J411" s="16" t="s">
        <v>1448</v>
      </c>
    </row>
    <row r="412" customFormat="false" ht="35.05" hidden="false" customHeight="false" outlineLevel="0" collapsed="false">
      <c r="A412" s="15" t="s">
        <v>189</v>
      </c>
      <c r="B412" s="16" t="s">
        <v>279</v>
      </c>
      <c r="C412" s="16" t="s">
        <v>619</v>
      </c>
      <c r="D412" s="15" t="s">
        <v>196</v>
      </c>
      <c r="E412" s="16" t="s">
        <v>624</v>
      </c>
      <c r="F412" s="15" t="n">
        <v>1</v>
      </c>
      <c r="G412" s="16" t="s">
        <v>17</v>
      </c>
      <c r="H412" s="15" t="s">
        <v>621</v>
      </c>
      <c r="I412" s="16" t="s">
        <v>279</v>
      </c>
      <c r="J412" s="16" t="s">
        <v>1449</v>
      </c>
    </row>
    <row r="413" customFormat="false" ht="35.05" hidden="false" customHeight="false" outlineLevel="0" collapsed="false">
      <c r="A413" s="15" t="s">
        <v>189</v>
      </c>
      <c r="B413" s="16" t="s">
        <v>279</v>
      </c>
      <c r="C413" s="16" t="s">
        <v>619</v>
      </c>
      <c r="D413" s="15" t="s">
        <v>227</v>
      </c>
      <c r="E413" s="16" t="s">
        <v>819</v>
      </c>
      <c r="F413" s="15" t="n">
        <v>12</v>
      </c>
      <c r="G413" s="16" t="s">
        <v>17</v>
      </c>
      <c r="H413" s="15" t="s">
        <v>654</v>
      </c>
      <c r="I413" s="16" t="s">
        <v>1450</v>
      </c>
      <c r="J413" s="16" t="s">
        <v>1451</v>
      </c>
    </row>
    <row r="414" customFormat="false" ht="35.05" hidden="false" customHeight="false" outlineLevel="0" collapsed="false">
      <c r="A414" s="15" t="s">
        <v>189</v>
      </c>
      <c r="B414" s="16" t="s">
        <v>279</v>
      </c>
      <c r="C414" s="16" t="s">
        <v>282</v>
      </c>
      <c r="D414" s="15" t="s">
        <v>227</v>
      </c>
      <c r="E414" s="16" t="s">
        <v>819</v>
      </c>
      <c r="F414" s="15" t="n">
        <v>2</v>
      </c>
      <c r="G414" s="16" t="s">
        <v>17</v>
      </c>
      <c r="H414" s="15" t="s">
        <v>627</v>
      </c>
      <c r="I414" s="16" t="s">
        <v>1452</v>
      </c>
      <c r="J414" s="16" t="s">
        <v>1453</v>
      </c>
    </row>
    <row r="415" customFormat="false" ht="35.05" hidden="false" customHeight="false" outlineLevel="0" collapsed="false">
      <c r="A415" s="15" t="s">
        <v>189</v>
      </c>
      <c r="B415" s="16" t="s">
        <v>283</v>
      </c>
      <c r="C415" s="16" t="s">
        <v>619</v>
      </c>
      <c r="D415" s="15" t="s">
        <v>227</v>
      </c>
      <c r="E415" s="16" t="s">
        <v>819</v>
      </c>
      <c r="F415" s="15" t="n">
        <v>3</v>
      </c>
      <c r="G415" s="16" t="s">
        <v>1454</v>
      </c>
      <c r="H415" s="15" t="s">
        <v>654</v>
      </c>
      <c r="I415" s="16" t="s">
        <v>1455</v>
      </c>
      <c r="J415" s="16" t="s">
        <v>1456</v>
      </c>
    </row>
    <row r="416" customFormat="false" ht="35.05" hidden="false" customHeight="false" outlineLevel="0" collapsed="false">
      <c r="A416" s="15" t="s">
        <v>189</v>
      </c>
      <c r="B416" s="16" t="s">
        <v>283</v>
      </c>
      <c r="C416" s="16" t="s">
        <v>619</v>
      </c>
      <c r="D416" s="15" t="s">
        <v>580</v>
      </c>
      <c r="E416" s="16" t="s">
        <v>1177</v>
      </c>
      <c r="F416" s="15" t="n">
        <v>12</v>
      </c>
      <c r="G416" s="16" t="s">
        <v>17</v>
      </c>
      <c r="H416" s="15" t="s">
        <v>654</v>
      </c>
      <c r="I416" s="16" t="s">
        <v>1457</v>
      </c>
      <c r="J416" s="16" t="s">
        <v>1458</v>
      </c>
    </row>
    <row r="417" customFormat="false" ht="35.05" hidden="false" customHeight="false" outlineLevel="0" collapsed="false">
      <c r="A417" s="15" t="s">
        <v>189</v>
      </c>
      <c r="B417" s="16" t="s">
        <v>283</v>
      </c>
      <c r="C417" s="16" t="s">
        <v>619</v>
      </c>
      <c r="D417" s="15" t="s">
        <v>581</v>
      </c>
      <c r="E417" s="16" t="s">
        <v>1459</v>
      </c>
      <c r="F417" s="15" t="n">
        <v>6</v>
      </c>
      <c r="G417" s="16" t="s">
        <v>1460</v>
      </c>
      <c r="H417" s="15" t="s">
        <v>654</v>
      </c>
      <c r="I417" s="16" t="s">
        <v>1461</v>
      </c>
      <c r="J417" s="16" t="s">
        <v>1462</v>
      </c>
    </row>
    <row r="418" customFormat="false" ht="35.05" hidden="false" customHeight="false" outlineLevel="0" collapsed="false">
      <c r="A418" s="15" t="s">
        <v>189</v>
      </c>
      <c r="B418" s="16" t="s">
        <v>283</v>
      </c>
      <c r="C418" s="16" t="s">
        <v>619</v>
      </c>
      <c r="D418" s="15" t="s">
        <v>504</v>
      </c>
      <c r="E418" s="16" t="s">
        <v>1316</v>
      </c>
      <c r="F418" s="15" t="n">
        <v>1</v>
      </c>
      <c r="G418" s="16" t="s">
        <v>17</v>
      </c>
      <c r="H418" s="15" t="s">
        <v>621</v>
      </c>
      <c r="I418" s="16" t="s">
        <v>1463</v>
      </c>
      <c r="J418" s="16" t="s">
        <v>1464</v>
      </c>
    </row>
    <row r="419" customFormat="false" ht="35.05" hidden="false" customHeight="false" outlineLevel="0" collapsed="false">
      <c r="A419" s="15" t="s">
        <v>189</v>
      </c>
      <c r="B419" s="16" t="s">
        <v>287</v>
      </c>
      <c r="C419" s="16" t="s">
        <v>619</v>
      </c>
      <c r="D419" s="15" t="s">
        <v>573</v>
      </c>
      <c r="E419" s="16" t="s">
        <v>923</v>
      </c>
      <c r="F419" s="15" t="n">
        <v>1</v>
      </c>
      <c r="G419" s="16" t="s">
        <v>17</v>
      </c>
      <c r="H419" s="15" t="s">
        <v>621</v>
      </c>
      <c r="I419" s="16" t="s">
        <v>287</v>
      </c>
      <c r="J419" s="16" t="s">
        <v>1465</v>
      </c>
    </row>
    <row r="420" customFormat="false" ht="35.05" hidden="false" customHeight="false" outlineLevel="0" collapsed="false">
      <c r="A420" s="15" t="s">
        <v>189</v>
      </c>
      <c r="B420" s="16" t="s">
        <v>287</v>
      </c>
      <c r="C420" s="16" t="s">
        <v>619</v>
      </c>
      <c r="D420" s="15" t="s">
        <v>227</v>
      </c>
      <c r="E420" s="16" t="s">
        <v>819</v>
      </c>
      <c r="F420" s="15" t="n">
        <v>1</v>
      </c>
      <c r="G420" s="16" t="s">
        <v>17</v>
      </c>
      <c r="H420" s="15" t="s">
        <v>621</v>
      </c>
      <c r="I420" s="16" t="s">
        <v>1466</v>
      </c>
      <c r="J420" s="16" t="s">
        <v>1467</v>
      </c>
    </row>
    <row r="421" customFormat="false" ht="35.05" hidden="false" customHeight="false" outlineLevel="0" collapsed="false">
      <c r="A421" s="15" t="s">
        <v>189</v>
      </c>
      <c r="B421" s="16" t="s">
        <v>287</v>
      </c>
      <c r="C421" s="16" t="s">
        <v>619</v>
      </c>
      <c r="D421" s="15" t="s">
        <v>574</v>
      </c>
      <c r="E421" s="16" t="s">
        <v>732</v>
      </c>
      <c r="F421" s="15" t="n">
        <v>5</v>
      </c>
      <c r="G421" s="16" t="s">
        <v>17</v>
      </c>
      <c r="H421" s="15" t="s">
        <v>654</v>
      </c>
      <c r="I421" s="16" t="s">
        <v>1468</v>
      </c>
      <c r="J421" s="16" t="s">
        <v>1469</v>
      </c>
    </row>
    <row r="422" customFormat="false" ht="35.05" hidden="false" customHeight="false" outlineLevel="0" collapsed="false">
      <c r="A422" s="15" t="s">
        <v>189</v>
      </c>
      <c r="B422" s="16" t="s">
        <v>287</v>
      </c>
      <c r="C422" s="16" t="s">
        <v>619</v>
      </c>
      <c r="D422" s="15" t="s">
        <v>296</v>
      </c>
      <c r="E422" s="16" t="s">
        <v>714</v>
      </c>
      <c r="F422" s="15" t="n">
        <v>3</v>
      </c>
      <c r="G422" s="16" t="s">
        <v>17</v>
      </c>
      <c r="H422" s="15" t="s">
        <v>627</v>
      </c>
      <c r="I422" s="16" t="s">
        <v>1470</v>
      </c>
      <c r="J422" s="16" t="s">
        <v>1471</v>
      </c>
    </row>
    <row r="423" customFormat="false" ht="46.25" hidden="false" customHeight="false" outlineLevel="0" collapsed="false">
      <c r="A423" s="15" t="s">
        <v>189</v>
      </c>
      <c r="B423" s="16" t="s">
        <v>287</v>
      </c>
      <c r="C423" s="16" t="s">
        <v>619</v>
      </c>
      <c r="D423" s="15" t="s">
        <v>578</v>
      </c>
      <c r="E423" s="16" t="s">
        <v>666</v>
      </c>
      <c r="F423" s="15" t="n">
        <v>6</v>
      </c>
      <c r="G423" s="16" t="s">
        <v>1472</v>
      </c>
      <c r="H423" s="15" t="s">
        <v>654</v>
      </c>
      <c r="I423" s="16" t="s">
        <v>1473</v>
      </c>
      <c r="J423" s="16" t="s">
        <v>1474</v>
      </c>
    </row>
    <row r="424" customFormat="false" ht="35.05" hidden="false" customHeight="false" outlineLevel="0" collapsed="false">
      <c r="A424" s="15" t="s">
        <v>189</v>
      </c>
      <c r="B424" s="16" t="s">
        <v>287</v>
      </c>
      <c r="C424" s="16" t="s">
        <v>619</v>
      </c>
      <c r="D424" s="15" t="s">
        <v>508</v>
      </c>
      <c r="E424" s="16" t="s">
        <v>831</v>
      </c>
      <c r="F424" s="15" t="n">
        <v>1</v>
      </c>
      <c r="G424" s="16" t="s">
        <v>17</v>
      </c>
      <c r="H424" s="15" t="s">
        <v>621</v>
      </c>
      <c r="I424" s="16" t="s">
        <v>1466</v>
      </c>
      <c r="J424" s="16" t="s">
        <v>1475</v>
      </c>
    </row>
    <row r="425" customFormat="false" ht="35.05" hidden="false" customHeight="false" outlineLevel="0" collapsed="false">
      <c r="A425" s="15" t="s">
        <v>189</v>
      </c>
      <c r="B425" s="16" t="s">
        <v>291</v>
      </c>
      <c r="C425" s="16" t="s">
        <v>619</v>
      </c>
      <c r="D425" s="15" t="s">
        <v>294</v>
      </c>
      <c r="E425" s="16" t="s">
        <v>640</v>
      </c>
      <c r="F425" s="15" t="n">
        <v>3</v>
      </c>
      <c r="G425" s="16" t="s">
        <v>1476</v>
      </c>
      <c r="H425" s="15" t="s">
        <v>654</v>
      </c>
      <c r="I425" s="16" t="s">
        <v>1477</v>
      </c>
      <c r="J425" s="16" t="s">
        <v>1478</v>
      </c>
    </row>
    <row r="426" customFormat="false" ht="35.05" hidden="false" customHeight="false" outlineLevel="0" collapsed="false">
      <c r="A426" s="15" t="s">
        <v>189</v>
      </c>
      <c r="B426" s="16" t="s">
        <v>291</v>
      </c>
      <c r="C426" s="16" t="s">
        <v>295</v>
      </c>
      <c r="D426" s="15" t="s">
        <v>294</v>
      </c>
      <c r="E426" s="16" t="s">
        <v>640</v>
      </c>
      <c r="F426" s="15" t="n">
        <v>7</v>
      </c>
      <c r="G426" s="16" t="s">
        <v>1479</v>
      </c>
      <c r="H426" s="15" t="s">
        <v>654</v>
      </c>
      <c r="I426" s="16" t="s">
        <v>1480</v>
      </c>
      <c r="J426" s="16" t="s">
        <v>1481</v>
      </c>
    </row>
    <row r="427" customFormat="false" ht="35.05" hidden="false" customHeight="false" outlineLevel="0" collapsed="false">
      <c r="A427" s="15" t="s">
        <v>189</v>
      </c>
      <c r="B427" s="16" t="s">
        <v>291</v>
      </c>
      <c r="C427" s="16" t="s">
        <v>295</v>
      </c>
      <c r="D427" s="15" t="s">
        <v>296</v>
      </c>
      <c r="E427" s="16" t="s">
        <v>714</v>
      </c>
      <c r="F427" s="15" t="n">
        <v>1</v>
      </c>
      <c r="G427" s="16" t="s">
        <v>17</v>
      </c>
      <c r="H427" s="15" t="s">
        <v>621</v>
      </c>
      <c r="I427" s="16" t="s">
        <v>1482</v>
      </c>
      <c r="J427" s="16" t="s">
        <v>1483</v>
      </c>
    </row>
    <row r="428" customFormat="false" ht="35.05" hidden="false" customHeight="false" outlineLevel="0" collapsed="false">
      <c r="A428" s="15" t="s">
        <v>189</v>
      </c>
      <c r="B428" s="16" t="s">
        <v>297</v>
      </c>
      <c r="C428" s="16" t="s">
        <v>619</v>
      </c>
      <c r="D428" s="15" t="s">
        <v>100</v>
      </c>
      <c r="E428" s="16" t="s">
        <v>878</v>
      </c>
      <c r="F428" s="15" t="n">
        <v>2</v>
      </c>
      <c r="G428" s="16" t="s">
        <v>17</v>
      </c>
      <c r="H428" s="15" t="s">
        <v>627</v>
      </c>
      <c r="I428" s="16" t="s">
        <v>1484</v>
      </c>
      <c r="J428" s="16" t="s">
        <v>1485</v>
      </c>
    </row>
    <row r="429" customFormat="false" ht="35.05" hidden="false" customHeight="false" outlineLevel="0" collapsed="false">
      <c r="A429" s="15" t="s">
        <v>189</v>
      </c>
      <c r="B429" s="16" t="s">
        <v>297</v>
      </c>
      <c r="C429" s="16" t="s">
        <v>619</v>
      </c>
      <c r="D429" s="15" t="s">
        <v>294</v>
      </c>
      <c r="E429" s="16" t="s">
        <v>640</v>
      </c>
      <c r="F429" s="15" t="n">
        <v>17</v>
      </c>
      <c r="G429" s="16" t="s">
        <v>1486</v>
      </c>
      <c r="H429" s="15" t="s">
        <v>654</v>
      </c>
      <c r="I429" s="16" t="s">
        <v>1487</v>
      </c>
      <c r="J429" s="16" t="s">
        <v>1488</v>
      </c>
    </row>
    <row r="430" customFormat="false" ht="35.05" hidden="false" customHeight="false" outlineLevel="0" collapsed="false">
      <c r="A430" s="15" t="s">
        <v>189</v>
      </c>
      <c r="B430" s="16" t="s">
        <v>297</v>
      </c>
      <c r="C430" s="16" t="s">
        <v>619</v>
      </c>
      <c r="D430" s="15" t="s">
        <v>578</v>
      </c>
      <c r="E430" s="16" t="s">
        <v>666</v>
      </c>
      <c r="F430" s="15" t="n">
        <v>2</v>
      </c>
      <c r="G430" s="16" t="s">
        <v>17</v>
      </c>
      <c r="H430" s="15" t="s">
        <v>627</v>
      </c>
      <c r="I430" s="16" t="s">
        <v>1489</v>
      </c>
      <c r="J430" s="16" t="s">
        <v>1490</v>
      </c>
    </row>
    <row r="431" customFormat="false" ht="35.05" hidden="false" customHeight="false" outlineLevel="0" collapsed="false">
      <c r="A431" s="15" t="s">
        <v>189</v>
      </c>
      <c r="B431" s="16" t="s">
        <v>300</v>
      </c>
      <c r="C431" s="16" t="s">
        <v>619</v>
      </c>
      <c r="D431" s="15" t="s">
        <v>42</v>
      </c>
      <c r="E431" s="16" t="s">
        <v>701</v>
      </c>
      <c r="F431" s="15" t="n">
        <v>1</v>
      </c>
      <c r="G431" s="16" t="s">
        <v>17</v>
      </c>
      <c r="H431" s="15" t="s">
        <v>621</v>
      </c>
      <c r="I431" s="16" t="s">
        <v>1491</v>
      </c>
      <c r="J431" s="16" t="s">
        <v>1492</v>
      </c>
    </row>
    <row r="432" customFormat="false" ht="35.05" hidden="false" customHeight="false" outlineLevel="0" collapsed="false">
      <c r="A432" s="15" t="s">
        <v>189</v>
      </c>
      <c r="B432" s="16" t="s">
        <v>300</v>
      </c>
      <c r="C432" s="16" t="s">
        <v>619</v>
      </c>
      <c r="D432" s="15" t="s">
        <v>100</v>
      </c>
      <c r="E432" s="16" t="s">
        <v>878</v>
      </c>
      <c r="F432" s="15" t="n">
        <v>2</v>
      </c>
      <c r="G432" s="16" t="s">
        <v>17</v>
      </c>
      <c r="H432" s="15" t="s">
        <v>627</v>
      </c>
      <c r="I432" s="16" t="s">
        <v>1493</v>
      </c>
      <c r="J432" s="16" t="s">
        <v>1494</v>
      </c>
    </row>
    <row r="433" customFormat="false" ht="35.05" hidden="false" customHeight="false" outlineLevel="0" collapsed="false">
      <c r="A433" s="15" t="s">
        <v>189</v>
      </c>
      <c r="B433" s="16" t="s">
        <v>300</v>
      </c>
      <c r="C433" s="16" t="s">
        <v>619</v>
      </c>
      <c r="D433" s="15" t="s">
        <v>294</v>
      </c>
      <c r="E433" s="16" t="s">
        <v>640</v>
      </c>
      <c r="F433" s="15" t="n">
        <v>8</v>
      </c>
      <c r="G433" s="16" t="s">
        <v>17</v>
      </c>
      <c r="H433" s="15" t="s">
        <v>654</v>
      </c>
      <c r="I433" s="16" t="s">
        <v>1495</v>
      </c>
      <c r="J433" s="16" t="s">
        <v>1496</v>
      </c>
    </row>
    <row r="434" customFormat="false" ht="35.05" hidden="false" customHeight="false" outlineLevel="0" collapsed="false">
      <c r="A434" s="15" t="s">
        <v>189</v>
      </c>
      <c r="B434" s="16" t="s">
        <v>300</v>
      </c>
      <c r="C434" s="16" t="s">
        <v>619</v>
      </c>
      <c r="D434" s="15" t="s">
        <v>296</v>
      </c>
      <c r="E434" s="16" t="s">
        <v>714</v>
      </c>
      <c r="F434" s="15" t="n">
        <v>1</v>
      </c>
      <c r="G434" s="16" t="s">
        <v>17</v>
      </c>
      <c r="H434" s="15" t="s">
        <v>621</v>
      </c>
      <c r="I434" s="16" t="s">
        <v>1497</v>
      </c>
      <c r="J434" s="16" t="s">
        <v>1498</v>
      </c>
    </row>
    <row r="435" customFormat="false" ht="35.05" hidden="false" customHeight="false" outlineLevel="0" collapsed="false">
      <c r="A435" s="15" t="s">
        <v>189</v>
      </c>
      <c r="B435" s="16" t="s">
        <v>303</v>
      </c>
      <c r="C435" s="16" t="s">
        <v>619</v>
      </c>
      <c r="D435" s="15" t="s">
        <v>196</v>
      </c>
      <c r="E435" s="16" t="s">
        <v>624</v>
      </c>
      <c r="F435" s="15" t="n">
        <v>3</v>
      </c>
      <c r="G435" s="16" t="s">
        <v>17</v>
      </c>
      <c r="H435" s="15" t="s">
        <v>627</v>
      </c>
      <c r="I435" s="16" t="s">
        <v>1499</v>
      </c>
      <c r="J435" s="16" t="s">
        <v>1500</v>
      </c>
    </row>
    <row r="436" customFormat="false" ht="35.05" hidden="false" customHeight="false" outlineLevel="0" collapsed="false">
      <c r="A436" s="15" t="s">
        <v>189</v>
      </c>
      <c r="B436" s="16" t="s">
        <v>303</v>
      </c>
      <c r="C436" s="16" t="s">
        <v>619</v>
      </c>
      <c r="D436" s="15" t="s">
        <v>296</v>
      </c>
      <c r="E436" s="16" t="s">
        <v>714</v>
      </c>
      <c r="F436" s="15" t="n">
        <v>7</v>
      </c>
      <c r="G436" s="16" t="s">
        <v>1501</v>
      </c>
      <c r="H436" s="15" t="s">
        <v>654</v>
      </c>
      <c r="I436" s="16" t="s">
        <v>1502</v>
      </c>
      <c r="J436" s="16" t="s">
        <v>1503</v>
      </c>
    </row>
    <row r="437" customFormat="false" ht="35.05" hidden="false" customHeight="false" outlineLevel="0" collapsed="false">
      <c r="A437" s="15" t="s">
        <v>189</v>
      </c>
      <c r="B437" s="16" t="s">
        <v>306</v>
      </c>
      <c r="C437" s="16" t="s">
        <v>619</v>
      </c>
      <c r="D437" s="15" t="s">
        <v>42</v>
      </c>
      <c r="E437" s="16" t="s">
        <v>701</v>
      </c>
      <c r="F437" s="15" t="n">
        <v>2</v>
      </c>
      <c r="G437" s="16" t="s">
        <v>17</v>
      </c>
      <c r="H437" s="15" t="s">
        <v>627</v>
      </c>
      <c r="I437" s="16" t="s">
        <v>1504</v>
      </c>
      <c r="J437" s="16" t="s">
        <v>1505</v>
      </c>
    </row>
    <row r="438" customFormat="false" ht="46.25" hidden="false" customHeight="false" outlineLevel="0" collapsed="false">
      <c r="A438" s="15" t="s">
        <v>189</v>
      </c>
      <c r="B438" s="16" t="s">
        <v>306</v>
      </c>
      <c r="C438" s="16" t="s">
        <v>619</v>
      </c>
      <c r="D438" s="15" t="s">
        <v>467</v>
      </c>
      <c r="E438" s="16" t="s">
        <v>1201</v>
      </c>
      <c r="F438" s="15" t="n">
        <v>3</v>
      </c>
      <c r="G438" s="16" t="s">
        <v>17</v>
      </c>
      <c r="H438" s="15" t="s">
        <v>627</v>
      </c>
      <c r="I438" s="16" t="s">
        <v>1506</v>
      </c>
      <c r="J438" s="16" t="s">
        <v>1507</v>
      </c>
    </row>
    <row r="439" customFormat="false" ht="35.05" hidden="false" customHeight="false" outlineLevel="0" collapsed="false">
      <c r="A439" s="15" t="s">
        <v>189</v>
      </c>
      <c r="B439" s="16" t="s">
        <v>309</v>
      </c>
      <c r="C439" s="16" t="s">
        <v>619</v>
      </c>
      <c r="D439" s="15" t="s">
        <v>312</v>
      </c>
      <c r="E439" s="16" t="s">
        <v>1126</v>
      </c>
      <c r="F439" s="15" t="n">
        <v>5</v>
      </c>
      <c r="G439" s="16" t="s">
        <v>17</v>
      </c>
      <c r="H439" s="15" t="s">
        <v>654</v>
      </c>
      <c r="I439" s="16" t="s">
        <v>1508</v>
      </c>
      <c r="J439" s="16" t="s">
        <v>1509</v>
      </c>
    </row>
    <row r="440" customFormat="false" ht="35.05" hidden="false" customHeight="false" outlineLevel="0" collapsed="false">
      <c r="A440" s="15" t="s">
        <v>189</v>
      </c>
      <c r="B440" s="16" t="s">
        <v>309</v>
      </c>
      <c r="C440" s="16" t="s">
        <v>619</v>
      </c>
      <c r="D440" s="15" t="s">
        <v>473</v>
      </c>
      <c r="E440" s="16" t="s">
        <v>775</v>
      </c>
      <c r="F440" s="15" t="n">
        <v>1</v>
      </c>
      <c r="G440" s="16" t="s">
        <v>17</v>
      </c>
      <c r="H440" s="15" t="s">
        <v>621</v>
      </c>
      <c r="I440" s="16" t="s">
        <v>1510</v>
      </c>
      <c r="J440" s="16" t="s">
        <v>1511</v>
      </c>
    </row>
    <row r="441" customFormat="false" ht="35.05" hidden="false" customHeight="false" outlineLevel="0" collapsed="false">
      <c r="A441" s="15" t="s">
        <v>189</v>
      </c>
      <c r="B441" s="16" t="s">
        <v>313</v>
      </c>
      <c r="C441" s="16" t="s">
        <v>619</v>
      </c>
      <c r="D441" s="15" t="s">
        <v>294</v>
      </c>
      <c r="E441" s="16" t="s">
        <v>640</v>
      </c>
      <c r="F441" s="15" t="n">
        <v>1</v>
      </c>
      <c r="G441" s="16" t="s">
        <v>17</v>
      </c>
      <c r="H441" s="15" t="s">
        <v>621</v>
      </c>
      <c r="I441" s="16" t="s">
        <v>1512</v>
      </c>
      <c r="J441" s="16" t="s">
        <v>1513</v>
      </c>
    </row>
    <row r="442" customFormat="false" ht="35.05" hidden="false" customHeight="false" outlineLevel="0" collapsed="false">
      <c r="A442" s="15" t="s">
        <v>189</v>
      </c>
      <c r="B442" s="16" t="s">
        <v>313</v>
      </c>
      <c r="C442" s="16" t="s">
        <v>619</v>
      </c>
      <c r="D442" s="15" t="s">
        <v>574</v>
      </c>
      <c r="E442" s="16" t="s">
        <v>732</v>
      </c>
      <c r="F442" s="15" t="n">
        <v>1</v>
      </c>
      <c r="G442" s="16" t="s">
        <v>17</v>
      </c>
      <c r="H442" s="15" t="s">
        <v>621</v>
      </c>
      <c r="I442" s="16" t="s">
        <v>1512</v>
      </c>
      <c r="J442" s="16" t="s">
        <v>1513</v>
      </c>
    </row>
    <row r="443" customFormat="false" ht="35.05" hidden="false" customHeight="false" outlineLevel="0" collapsed="false">
      <c r="A443" s="15" t="s">
        <v>189</v>
      </c>
      <c r="B443" s="16" t="s">
        <v>313</v>
      </c>
      <c r="C443" s="16" t="s">
        <v>619</v>
      </c>
      <c r="D443" s="15" t="s">
        <v>575</v>
      </c>
      <c r="E443" s="16" t="s">
        <v>950</v>
      </c>
      <c r="F443" s="15" t="n">
        <v>1</v>
      </c>
      <c r="G443" s="16" t="s">
        <v>17</v>
      </c>
      <c r="H443" s="15" t="s">
        <v>621</v>
      </c>
      <c r="I443" s="16" t="s">
        <v>1514</v>
      </c>
      <c r="J443" s="16" t="s">
        <v>1515</v>
      </c>
    </row>
    <row r="444" customFormat="false" ht="35.05" hidden="false" customHeight="false" outlineLevel="0" collapsed="false">
      <c r="A444" s="15" t="s">
        <v>189</v>
      </c>
      <c r="B444" s="16" t="s">
        <v>313</v>
      </c>
      <c r="C444" s="16" t="s">
        <v>619</v>
      </c>
      <c r="D444" s="15" t="s">
        <v>605</v>
      </c>
      <c r="E444" s="16" t="s">
        <v>1042</v>
      </c>
      <c r="F444" s="15" t="n">
        <v>1</v>
      </c>
      <c r="G444" s="16" t="s">
        <v>17</v>
      </c>
      <c r="H444" s="15" t="s">
        <v>621</v>
      </c>
      <c r="I444" s="16" t="s">
        <v>1516</v>
      </c>
      <c r="J444" s="16" t="s">
        <v>1517</v>
      </c>
    </row>
    <row r="445" customFormat="false" ht="46.25" hidden="false" customHeight="false" outlineLevel="0" collapsed="false">
      <c r="A445" s="15" t="s">
        <v>189</v>
      </c>
      <c r="B445" s="16" t="s">
        <v>313</v>
      </c>
      <c r="C445" s="16" t="s">
        <v>619</v>
      </c>
      <c r="D445" s="15" t="s">
        <v>467</v>
      </c>
      <c r="E445" s="16" t="s">
        <v>1201</v>
      </c>
      <c r="F445" s="15" t="n">
        <v>1</v>
      </c>
      <c r="G445" s="16" t="s">
        <v>17</v>
      </c>
      <c r="H445" s="15" t="s">
        <v>621</v>
      </c>
      <c r="I445" s="16" t="s">
        <v>1512</v>
      </c>
      <c r="J445" s="16" t="s">
        <v>1518</v>
      </c>
    </row>
    <row r="446" customFormat="false" ht="35.05" hidden="false" customHeight="false" outlineLevel="0" collapsed="false">
      <c r="A446" s="15" t="s">
        <v>316</v>
      </c>
      <c r="B446" s="16" t="s">
        <v>317</v>
      </c>
      <c r="C446" s="16" t="s">
        <v>619</v>
      </c>
      <c r="D446" s="15" t="s">
        <v>398</v>
      </c>
      <c r="E446" s="16" t="s">
        <v>641</v>
      </c>
      <c r="F446" s="15" t="n">
        <v>1</v>
      </c>
      <c r="G446" s="16" t="s">
        <v>17</v>
      </c>
      <c r="H446" s="15" t="s">
        <v>621</v>
      </c>
      <c r="I446" s="16" t="s">
        <v>1519</v>
      </c>
      <c r="J446" s="16" t="s">
        <v>1520</v>
      </c>
    </row>
    <row r="447" customFormat="false" ht="35.05" hidden="false" customHeight="false" outlineLevel="0" collapsed="false">
      <c r="A447" s="15" t="s">
        <v>316</v>
      </c>
      <c r="B447" s="16" t="s">
        <v>317</v>
      </c>
      <c r="C447" s="16" t="s">
        <v>619</v>
      </c>
      <c r="D447" s="15" t="s">
        <v>42</v>
      </c>
      <c r="E447" s="16" t="s">
        <v>701</v>
      </c>
      <c r="F447" s="15" t="n">
        <v>1</v>
      </c>
      <c r="G447" s="16" t="s">
        <v>17</v>
      </c>
      <c r="H447" s="15" t="s">
        <v>621</v>
      </c>
      <c r="I447" s="16" t="s">
        <v>317</v>
      </c>
      <c r="J447" s="16" t="s">
        <v>1521</v>
      </c>
    </row>
    <row r="448" customFormat="false" ht="35.05" hidden="false" customHeight="false" outlineLevel="0" collapsed="false">
      <c r="A448" s="15" t="s">
        <v>316</v>
      </c>
      <c r="B448" s="16" t="s">
        <v>317</v>
      </c>
      <c r="C448" s="16" t="s">
        <v>619</v>
      </c>
      <c r="D448" s="15" t="s">
        <v>220</v>
      </c>
      <c r="E448" s="16" t="s">
        <v>646</v>
      </c>
      <c r="F448" s="15" t="n">
        <v>4</v>
      </c>
      <c r="G448" s="16" t="s">
        <v>17</v>
      </c>
      <c r="H448" s="15" t="s">
        <v>627</v>
      </c>
      <c r="I448" s="16" t="s">
        <v>1522</v>
      </c>
      <c r="J448" s="16" t="s">
        <v>1523</v>
      </c>
    </row>
    <row r="449" customFormat="false" ht="35.05" hidden="false" customHeight="false" outlineLevel="0" collapsed="false">
      <c r="A449" s="15" t="s">
        <v>316</v>
      </c>
      <c r="B449" s="16" t="s">
        <v>317</v>
      </c>
      <c r="C449" s="16" t="s">
        <v>619</v>
      </c>
      <c r="D449" s="15" t="s">
        <v>320</v>
      </c>
      <c r="E449" s="16" t="s">
        <v>816</v>
      </c>
      <c r="F449" s="15" t="n">
        <v>9</v>
      </c>
      <c r="G449" s="16" t="s">
        <v>317</v>
      </c>
      <c r="H449" s="15" t="s">
        <v>654</v>
      </c>
      <c r="I449" s="16" t="s">
        <v>1524</v>
      </c>
      <c r="J449" s="16" t="s">
        <v>1525</v>
      </c>
    </row>
    <row r="450" customFormat="false" ht="35.05" hidden="false" customHeight="false" outlineLevel="0" collapsed="false">
      <c r="A450" s="15" t="s">
        <v>316</v>
      </c>
      <c r="B450" s="16" t="s">
        <v>317</v>
      </c>
      <c r="C450" s="16" t="s">
        <v>321</v>
      </c>
      <c r="D450" s="15" t="s">
        <v>398</v>
      </c>
      <c r="E450" s="16" t="s">
        <v>641</v>
      </c>
      <c r="F450" s="15" t="n">
        <v>1</v>
      </c>
      <c r="G450" s="16" t="s">
        <v>17</v>
      </c>
      <c r="H450" s="15" t="s">
        <v>621</v>
      </c>
      <c r="I450" s="16" t="s">
        <v>1526</v>
      </c>
      <c r="J450" s="16" t="s">
        <v>1527</v>
      </c>
    </row>
    <row r="451" customFormat="false" ht="35.05" hidden="false" customHeight="false" outlineLevel="0" collapsed="false">
      <c r="A451" s="15" t="s">
        <v>316</v>
      </c>
      <c r="B451" s="16" t="s">
        <v>317</v>
      </c>
      <c r="C451" s="16" t="s">
        <v>321</v>
      </c>
      <c r="D451" s="15" t="s">
        <v>42</v>
      </c>
      <c r="E451" s="16" t="s">
        <v>701</v>
      </c>
      <c r="F451" s="15" t="n">
        <v>1</v>
      </c>
      <c r="G451" s="16" t="s">
        <v>17</v>
      </c>
      <c r="H451" s="15" t="s">
        <v>621</v>
      </c>
      <c r="I451" s="16" t="s">
        <v>1526</v>
      </c>
      <c r="J451" s="16" t="s">
        <v>1528</v>
      </c>
    </row>
    <row r="452" customFormat="false" ht="35.05" hidden="false" customHeight="false" outlineLevel="0" collapsed="false">
      <c r="A452" s="15" t="s">
        <v>316</v>
      </c>
      <c r="B452" s="16" t="s">
        <v>317</v>
      </c>
      <c r="C452" s="16" t="s">
        <v>321</v>
      </c>
      <c r="D452" s="15" t="s">
        <v>84</v>
      </c>
      <c r="E452" s="16" t="s">
        <v>657</v>
      </c>
      <c r="F452" s="15" t="n">
        <v>2</v>
      </c>
      <c r="G452" s="16" t="s">
        <v>17</v>
      </c>
      <c r="H452" s="15" t="s">
        <v>627</v>
      </c>
      <c r="I452" s="16" t="s">
        <v>1526</v>
      </c>
      <c r="J452" s="16" t="s">
        <v>1529</v>
      </c>
    </row>
    <row r="453" customFormat="false" ht="35.05" hidden="false" customHeight="false" outlineLevel="0" collapsed="false">
      <c r="A453" s="15" t="s">
        <v>316</v>
      </c>
      <c r="B453" s="16" t="s">
        <v>317</v>
      </c>
      <c r="C453" s="16" t="s">
        <v>321</v>
      </c>
      <c r="D453" s="15" t="s">
        <v>320</v>
      </c>
      <c r="E453" s="16" t="s">
        <v>816</v>
      </c>
      <c r="F453" s="15" t="n">
        <v>5</v>
      </c>
      <c r="G453" s="16" t="s">
        <v>1530</v>
      </c>
      <c r="H453" s="15" t="s">
        <v>654</v>
      </c>
      <c r="I453" s="16" t="s">
        <v>1531</v>
      </c>
      <c r="J453" s="16" t="s">
        <v>1532</v>
      </c>
    </row>
    <row r="454" customFormat="false" ht="35.05" hidden="false" customHeight="false" outlineLevel="0" collapsed="false">
      <c r="A454" s="15" t="s">
        <v>316</v>
      </c>
      <c r="B454" s="16" t="s">
        <v>322</v>
      </c>
      <c r="C454" s="16" t="s">
        <v>619</v>
      </c>
      <c r="D454" s="15" t="s">
        <v>320</v>
      </c>
      <c r="E454" s="16" t="s">
        <v>816</v>
      </c>
      <c r="F454" s="15" t="n">
        <v>1</v>
      </c>
      <c r="G454" s="16" t="s">
        <v>1533</v>
      </c>
      <c r="H454" s="15" t="s">
        <v>654</v>
      </c>
      <c r="I454" s="16" t="s">
        <v>1534</v>
      </c>
      <c r="J454" s="16" t="s">
        <v>1535</v>
      </c>
    </row>
    <row r="455" customFormat="false" ht="35.05" hidden="false" customHeight="false" outlineLevel="0" collapsed="false">
      <c r="A455" s="15" t="s">
        <v>316</v>
      </c>
      <c r="B455" s="16" t="s">
        <v>322</v>
      </c>
      <c r="C455" s="16" t="s">
        <v>619</v>
      </c>
      <c r="D455" s="15" t="s">
        <v>570</v>
      </c>
      <c r="E455" s="16" t="s">
        <v>730</v>
      </c>
      <c r="F455" s="15" t="n">
        <v>5</v>
      </c>
      <c r="G455" s="16" t="s">
        <v>17</v>
      </c>
      <c r="H455" s="15" t="s">
        <v>654</v>
      </c>
      <c r="I455" s="16" t="s">
        <v>1536</v>
      </c>
      <c r="J455" s="16" t="s">
        <v>1537</v>
      </c>
    </row>
    <row r="456" customFormat="false" ht="35.05" hidden="false" customHeight="false" outlineLevel="0" collapsed="false">
      <c r="A456" s="15" t="s">
        <v>316</v>
      </c>
      <c r="B456" s="16" t="s">
        <v>325</v>
      </c>
      <c r="C456" s="16" t="s">
        <v>619</v>
      </c>
      <c r="D456" s="15" t="s">
        <v>320</v>
      </c>
      <c r="E456" s="16" t="s">
        <v>816</v>
      </c>
      <c r="F456" s="15" t="n">
        <v>6</v>
      </c>
      <c r="G456" s="16" t="s">
        <v>17</v>
      </c>
      <c r="H456" s="15" t="s">
        <v>654</v>
      </c>
      <c r="I456" s="16" t="s">
        <v>1538</v>
      </c>
      <c r="J456" s="16" t="s">
        <v>1539</v>
      </c>
    </row>
    <row r="457" customFormat="false" ht="35.05" hidden="false" customHeight="false" outlineLevel="0" collapsed="false">
      <c r="A457" s="15" t="s">
        <v>316</v>
      </c>
      <c r="B457" s="16" t="s">
        <v>325</v>
      </c>
      <c r="C457" s="16" t="s">
        <v>1540</v>
      </c>
      <c r="D457" s="15" t="s">
        <v>38</v>
      </c>
      <c r="E457" s="16" t="s">
        <v>696</v>
      </c>
      <c r="F457" s="15" t="n">
        <v>1</v>
      </c>
      <c r="G457" s="16" t="s">
        <v>17</v>
      </c>
      <c r="H457" s="15" t="s">
        <v>621</v>
      </c>
      <c r="I457" s="16" t="s">
        <v>1541</v>
      </c>
      <c r="J457" s="16" t="s">
        <v>1542</v>
      </c>
    </row>
    <row r="458" customFormat="false" ht="46.25" hidden="false" customHeight="false" outlineLevel="0" collapsed="false">
      <c r="A458" s="15" t="s">
        <v>316</v>
      </c>
      <c r="B458" s="16" t="s">
        <v>325</v>
      </c>
      <c r="C458" s="16" t="s">
        <v>1540</v>
      </c>
      <c r="D458" s="15" t="s">
        <v>320</v>
      </c>
      <c r="E458" s="16" t="s">
        <v>816</v>
      </c>
      <c r="F458" s="15" t="n">
        <v>12</v>
      </c>
      <c r="G458" s="16" t="s">
        <v>1543</v>
      </c>
      <c r="H458" s="15" t="s">
        <v>654</v>
      </c>
      <c r="I458" s="16" t="s">
        <v>1544</v>
      </c>
      <c r="J458" s="16" t="s">
        <v>1545</v>
      </c>
    </row>
    <row r="459" customFormat="false" ht="35.05" hidden="false" customHeight="false" outlineLevel="0" collapsed="false">
      <c r="A459" s="15" t="s">
        <v>316</v>
      </c>
      <c r="B459" s="16" t="s">
        <v>325</v>
      </c>
      <c r="C459" s="16" t="s">
        <v>1546</v>
      </c>
      <c r="D459" s="15" t="s">
        <v>320</v>
      </c>
      <c r="E459" s="16" t="s">
        <v>816</v>
      </c>
      <c r="F459" s="15" t="n">
        <v>5</v>
      </c>
      <c r="G459" s="16" t="s">
        <v>1547</v>
      </c>
      <c r="H459" s="15" t="s">
        <v>654</v>
      </c>
      <c r="I459" s="16" t="s">
        <v>1548</v>
      </c>
      <c r="J459" s="16" t="s">
        <v>1549</v>
      </c>
    </row>
    <row r="460" customFormat="false" ht="35.05" hidden="false" customHeight="false" outlineLevel="0" collapsed="false">
      <c r="A460" s="15" t="s">
        <v>316</v>
      </c>
      <c r="B460" s="16" t="s">
        <v>325</v>
      </c>
      <c r="C460" s="16" t="s">
        <v>1546</v>
      </c>
      <c r="D460" s="15" t="s">
        <v>473</v>
      </c>
      <c r="E460" s="16" t="s">
        <v>775</v>
      </c>
      <c r="F460" s="15" t="n">
        <v>2</v>
      </c>
      <c r="G460" s="16" t="s">
        <v>17</v>
      </c>
      <c r="H460" s="15" t="s">
        <v>627</v>
      </c>
      <c r="I460" s="16" t="s">
        <v>1550</v>
      </c>
      <c r="J460" s="16" t="s">
        <v>1551</v>
      </c>
    </row>
    <row r="461" customFormat="false" ht="35.05" hidden="false" customHeight="false" outlineLevel="0" collapsed="false">
      <c r="A461" s="15" t="s">
        <v>316</v>
      </c>
      <c r="B461" s="16" t="s">
        <v>330</v>
      </c>
      <c r="C461" s="16" t="s">
        <v>619</v>
      </c>
      <c r="D461" s="15" t="s">
        <v>220</v>
      </c>
      <c r="E461" s="16" t="s">
        <v>646</v>
      </c>
      <c r="F461" s="15" t="n">
        <v>1</v>
      </c>
      <c r="G461" s="16" t="s">
        <v>17</v>
      </c>
      <c r="H461" s="15" t="s">
        <v>621</v>
      </c>
      <c r="I461" s="16" t="s">
        <v>1552</v>
      </c>
      <c r="J461" s="16" t="s">
        <v>1553</v>
      </c>
    </row>
    <row r="462" customFormat="false" ht="35.05" hidden="false" customHeight="false" outlineLevel="0" collapsed="false">
      <c r="A462" s="15" t="s">
        <v>316</v>
      </c>
      <c r="B462" s="16" t="s">
        <v>330</v>
      </c>
      <c r="C462" s="16" t="s">
        <v>619</v>
      </c>
      <c r="D462" s="15" t="s">
        <v>76</v>
      </c>
      <c r="E462" s="16" t="s">
        <v>660</v>
      </c>
      <c r="F462" s="15" t="n">
        <v>1</v>
      </c>
      <c r="G462" s="16" t="s">
        <v>17</v>
      </c>
      <c r="H462" s="15" t="s">
        <v>621</v>
      </c>
      <c r="I462" s="16" t="s">
        <v>1554</v>
      </c>
      <c r="J462" s="16" t="s">
        <v>1555</v>
      </c>
    </row>
    <row r="463" customFormat="false" ht="46.25" hidden="false" customHeight="false" outlineLevel="0" collapsed="false">
      <c r="A463" s="15" t="s">
        <v>316</v>
      </c>
      <c r="B463" s="16" t="s">
        <v>330</v>
      </c>
      <c r="C463" s="16" t="s">
        <v>619</v>
      </c>
      <c r="D463" s="15" t="s">
        <v>550</v>
      </c>
      <c r="E463" s="16" t="s">
        <v>1224</v>
      </c>
      <c r="F463" s="15" t="n">
        <v>19</v>
      </c>
      <c r="G463" s="16" t="s">
        <v>1556</v>
      </c>
      <c r="H463" s="15" t="s">
        <v>654</v>
      </c>
      <c r="I463" s="16" t="s">
        <v>1557</v>
      </c>
      <c r="J463" s="16" t="s">
        <v>1558</v>
      </c>
    </row>
    <row r="464" customFormat="false" ht="35.05" hidden="false" customHeight="false" outlineLevel="0" collapsed="false">
      <c r="A464" s="15" t="s">
        <v>316</v>
      </c>
      <c r="B464" s="16" t="s">
        <v>330</v>
      </c>
      <c r="C464" s="16" t="s">
        <v>619</v>
      </c>
      <c r="D464" s="15" t="s">
        <v>570</v>
      </c>
      <c r="E464" s="16" t="s">
        <v>730</v>
      </c>
      <c r="F464" s="15" t="n">
        <v>13</v>
      </c>
      <c r="G464" s="16" t="s">
        <v>17</v>
      </c>
      <c r="H464" s="15" t="s">
        <v>654</v>
      </c>
      <c r="I464" s="16" t="s">
        <v>1559</v>
      </c>
      <c r="J464" s="16" t="s">
        <v>1560</v>
      </c>
    </row>
    <row r="465" customFormat="false" ht="35.05" hidden="false" customHeight="false" outlineLevel="0" collapsed="false">
      <c r="A465" s="15" t="s">
        <v>316</v>
      </c>
      <c r="B465" s="16" t="s">
        <v>330</v>
      </c>
      <c r="C465" s="16" t="s">
        <v>334</v>
      </c>
      <c r="D465" s="15" t="s">
        <v>220</v>
      </c>
      <c r="E465" s="16" t="s">
        <v>646</v>
      </c>
      <c r="F465" s="15" t="n">
        <v>1</v>
      </c>
      <c r="G465" s="16" t="s">
        <v>17</v>
      </c>
      <c r="H465" s="15" t="s">
        <v>621</v>
      </c>
      <c r="I465" s="16" t="s">
        <v>1561</v>
      </c>
      <c r="J465" s="16" t="s">
        <v>1562</v>
      </c>
    </row>
    <row r="466" customFormat="false" ht="35.05" hidden="false" customHeight="false" outlineLevel="0" collapsed="false">
      <c r="A466" s="15" t="s">
        <v>316</v>
      </c>
      <c r="B466" s="16" t="s">
        <v>330</v>
      </c>
      <c r="C466" s="16" t="s">
        <v>334</v>
      </c>
      <c r="D466" s="15" t="s">
        <v>109</v>
      </c>
      <c r="E466" s="16" t="s">
        <v>742</v>
      </c>
      <c r="F466" s="15" t="n">
        <v>1</v>
      </c>
      <c r="G466" s="16" t="s">
        <v>17</v>
      </c>
      <c r="H466" s="15" t="s">
        <v>621</v>
      </c>
      <c r="I466" s="16" t="s">
        <v>1561</v>
      </c>
      <c r="J466" s="16" t="s">
        <v>1563</v>
      </c>
    </row>
    <row r="467" customFormat="false" ht="35.05" hidden="false" customHeight="false" outlineLevel="0" collapsed="false">
      <c r="A467" s="15" t="s">
        <v>316</v>
      </c>
      <c r="B467" s="16" t="s">
        <v>335</v>
      </c>
      <c r="C467" s="16" t="s">
        <v>619</v>
      </c>
      <c r="D467" s="15" t="s">
        <v>570</v>
      </c>
      <c r="E467" s="16" t="s">
        <v>730</v>
      </c>
      <c r="F467" s="15" t="n">
        <v>4</v>
      </c>
      <c r="G467" s="16" t="s">
        <v>17</v>
      </c>
      <c r="H467" s="15" t="s">
        <v>627</v>
      </c>
      <c r="I467" s="16" t="s">
        <v>1564</v>
      </c>
      <c r="J467" s="16" t="s">
        <v>1565</v>
      </c>
    </row>
    <row r="468" customFormat="false" ht="35.05" hidden="false" customHeight="false" outlineLevel="0" collapsed="false">
      <c r="A468" s="15" t="s">
        <v>316</v>
      </c>
      <c r="B468" s="16" t="s">
        <v>335</v>
      </c>
      <c r="C468" s="16" t="s">
        <v>619</v>
      </c>
      <c r="D468" s="15" t="s">
        <v>296</v>
      </c>
      <c r="E468" s="16" t="s">
        <v>714</v>
      </c>
      <c r="F468" s="15" t="n">
        <v>3</v>
      </c>
      <c r="G468" s="16" t="s">
        <v>17</v>
      </c>
      <c r="H468" s="15" t="s">
        <v>627</v>
      </c>
      <c r="I468" s="16" t="s">
        <v>1566</v>
      </c>
      <c r="J468" s="16" t="s">
        <v>1567</v>
      </c>
    </row>
    <row r="469" customFormat="false" ht="35.05" hidden="false" customHeight="false" outlineLevel="0" collapsed="false">
      <c r="A469" s="15" t="s">
        <v>316</v>
      </c>
      <c r="B469" s="16" t="s">
        <v>335</v>
      </c>
      <c r="C469" s="16" t="s">
        <v>338</v>
      </c>
      <c r="D469" s="15" t="s">
        <v>570</v>
      </c>
      <c r="E469" s="16" t="s">
        <v>730</v>
      </c>
      <c r="F469" s="15" t="n">
        <v>3</v>
      </c>
      <c r="G469" s="16" t="s">
        <v>17</v>
      </c>
      <c r="H469" s="15" t="s">
        <v>627</v>
      </c>
      <c r="I469" s="16" t="s">
        <v>1568</v>
      </c>
      <c r="J469" s="16" t="s">
        <v>1569</v>
      </c>
    </row>
    <row r="470" customFormat="false" ht="35.05" hidden="false" customHeight="false" outlineLevel="0" collapsed="false">
      <c r="A470" s="15" t="s">
        <v>339</v>
      </c>
      <c r="B470" s="16" t="s">
        <v>340</v>
      </c>
      <c r="C470" s="16" t="s">
        <v>619</v>
      </c>
      <c r="D470" s="15" t="s">
        <v>562</v>
      </c>
      <c r="E470" s="16" t="s">
        <v>716</v>
      </c>
      <c r="F470" s="15" t="n">
        <v>4</v>
      </c>
      <c r="G470" s="16" t="s">
        <v>17</v>
      </c>
      <c r="H470" s="15" t="s">
        <v>627</v>
      </c>
      <c r="I470" s="16" t="s">
        <v>1570</v>
      </c>
      <c r="J470" s="16" t="s">
        <v>1571</v>
      </c>
    </row>
    <row r="471" customFormat="false" ht="35.05" hidden="false" customHeight="false" outlineLevel="0" collapsed="false">
      <c r="A471" s="15" t="s">
        <v>339</v>
      </c>
      <c r="B471" s="16" t="s">
        <v>340</v>
      </c>
      <c r="C471" s="16" t="s">
        <v>619</v>
      </c>
      <c r="D471" s="15" t="s">
        <v>196</v>
      </c>
      <c r="E471" s="16" t="s">
        <v>624</v>
      </c>
      <c r="F471" s="15" t="n">
        <v>1</v>
      </c>
      <c r="G471" s="16" t="s">
        <v>17</v>
      </c>
      <c r="H471" s="15" t="s">
        <v>621</v>
      </c>
      <c r="I471" s="16" t="s">
        <v>1572</v>
      </c>
      <c r="J471" s="16" t="s">
        <v>1573</v>
      </c>
    </row>
    <row r="472" customFormat="false" ht="35.05" hidden="false" customHeight="false" outlineLevel="0" collapsed="false">
      <c r="A472" s="15" t="s">
        <v>339</v>
      </c>
      <c r="B472" s="16" t="s">
        <v>340</v>
      </c>
      <c r="C472" s="16" t="s">
        <v>619</v>
      </c>
      <c r="D472" s="15" t="s">
        <v>589</v>
      </c>
      <c r="E472" s="16" t="s">
        <v>1372</v>
      </c>
      <c r="F472" s="15" t="n">
        <v>1</v>
      </c>
      <c r="G472" s="16" t="s">
        <v>17</v>
      </c>
      <c r="H472" s="15" t="s">
        <v>621</v>
      </c>
      <c r="I472" s="16" t="s">
        <v>1574</v>
      </c>
      <c r="J472" s="16" t="s">
        <v>1575</v>
      </c>
    </row>
    <row r="473" customFormat="false" ht="46.25" hidden="false" customHeight="false" outlineLevel="0" collapsed="false">
      <c r="A473" s="15" t="s">
        <v>339</v>
      </c>
      <c r="B473" s="16" t="s">
        <v>340</v>
      </c>
      <c r="C473" s="16" t="s">
        <v>619</v>
      </c>
      <c r="D473" s="15" t="s">
        <v>467</v>
      </c>
      <c r="E473" s="16" t="s">
        <v>1201</v>
      </c>
      <c r="F473" s="15" t="n">
        <v>1</v>
      </c>
      <c r="G473" s="16" t="s">
        <v>17</v>
      </c>
      <c r="H473" s="15" t="s">
        <v>621</v>
      </c>
      <c r="I473" s="16" t="s">
        <v>1576</v>
      </c>
      <c r="J473" s="16" t="s">
        <v>1577</v>
      </c>
    </row>
    <row r="474" customFormat="false" ht="35.05" hidden="false" customHeight="false" outlineLevel="0" collapsed="false">
      <c r="A474" s="15" t="s">
        <v>339</v>
      </c>
      <c r="B474" s="16" t="s">
        <v>343</v>
      </c>
      <c r="C474" s="16" t="s">
        <v>619</v>
      </c>
      <c r="D474" s="15" t="s">
        <v>346</v>
      </c>
      <c r="E474" s="16" t="s">
        <v>736</v>
      </c>
      <c r="F474" s="15" t="n">
        <v>27</v>
      </c>
      <c r="G474" s="16" t="s">
        <v>1578</v>
      </c>
      <c r="H474" s="15" t="s">
        <v>654</v>
      </c>
      <c r="I474" s="16" t="s">
        <v>1579</v>
      </c>
      <c r="J474" s="16" t="s">
        <v>1580</v>
      </c>
    </row>
    <row r="475" customFormat="false" ht="35.05" hidden="false" customHeight="false" outlineLevel="0" collapsed="false">
      <c r="A475" s="15" t="s">
        <v>339</v>
      </c>
      <c r="B475" s="16" t="s">
        <v>343</v>
      </c>
      <c r="C475" s="16" t="s">
        <v>619</v>
      </c>
      <c r="D475" s="15" t="s">
        <v>369</v>
      </c>
      <c r="E475" s="16" t="s">
        <v>736</v>
      </c>
      <c r="F475" s="15" t="n">
        <v>3</v>
      </c>
      <c r="G475" s="16" t="s">
        <v>17</v>
      </c>
      <c r="H475" s="15" t="s">
        <v>627</v>
      </c>
      <c r="I475" s="16" t="s">
        <v>1581</v>
      </c>
      <c r="J475" s="16" t="s">
        <v>1582</v>
      </c>
    </row>
    <row r="476" customFormat="false" ht="35.05" hidden="false" customHeight="false" outlineLevel="0" collapsed="false">
      <c r="A476" s="15" t="s">
        <v>339</v>
      </c>
      <c r="B476" s="16" t="s">
        <v>343</v>
      </c>
      <c r="C476" s="16" t="s">
        <v>619</v>
      </c>
      <c r="D476" s="15" t="s">
        <v>579</v>
      </c>
      <c r="E476" s="16" t="s">
        <v>1583</v>
      </c>
      <c r="F476" s="15" t="n">
        <v>2</v>
      </c>
      <c r="G476" s="16" t="s">
        <v>17</v>
      </c>
      <c r="H476" s="15" t="s">
        <v>627</v>
      </c>
      <c r="I476" s="16" t="s">
        <v>1584</v>
      </c>
      <c r="J476" s="16" t="s">
        <v>1585</v>
      </c>
    </row>
    <row r="477" customFormat="false" ht="35.05" hidden="false" customHeight="false" outlineLevel="0" collapsed="false">
      <c r="A477" s="15" t="s">
        <v>339</v>
      </c>
      <c r="B477" s="16" t="s">
        <v>343</v>
      </c>
      <c r="C477" s="16" t="s">
        <v>619</v>
      </c>
      <c r="D477" s="15" t="s">
        <v>473</v>
      </c>
      <c r="E477" s="16" t="s">
        <v>775</v>
      </c>
      <c r="F477" s="15" t="n">
        <v>1</v>
      </c>
      <c r="G477" s="16" t="s">
        <v>17</v>
      </c>
      <c r="H477" s="15" t="s">
        <v>621</v>
      </c>
      <c r="I477" s="16" t="s">
        <v>1586</v>
      </c>
      <c r="J477" s="16" t="s">
        <v>1587</v>
      </c>
    </row>
    <row r="478" customFormat="false" ht="35.05" hidden="false" customHeight="false" outlineLevel="0" collapsed="false">
      <c r="A478" s="15" t="s">
        <v>339</v>
      </c>
      <c r="B478" s="16" t="s">
        <v>343</v>
      </c>
      <c r="C478" s="16" t="s">
        <v>347</v>
      </c>
      <c r="D478" s="15" t="s">
        <v>346</v>
      </c>
      <c r="E478" s="16" t="s">
        <v>736</v>
      </c>
      <c r="F478" s="15" t="n">
        <v>4</v>
      </c>
      <c r="G478" s="16" t="s">
        <v>17</v>
      </c>
      <c r="H478" s="15" t="s">
        <v>627</v>
      </c>
      <c r="I478" s="16" t="s">
        <v>1588</v>
      </c>
      <c r="J478" s="16" t="s">
        <v>1589</v>
      </c>
    </row>
    <row r="479" customFormat="false" ht="35.05" hidden="false" customHeight="false" outlineLevel="0" collapsed="false">
      <c r="A479" s="15" t="s">
        <v>339</v>
      </c>
      <c r="B479" s="16" t="s">
        <v>343</v>
      </c>
      <c r="C479" s="16" t="s">
        <v>347</v>
      </c>
      <c r="D479" s="15" t="s">
        <v>579</v>
      </c>
      <c r="E479" s="16" t="s">
        <v>1583</v>
      </c>
      <c r="F479" s="15" t="n">
        <v>2</v>
      </c>
      <c r="G479" s="16" t="s">
        <v>17</v>
      </c>
      <c r="H479" s="15" t="s">
        <v>627</v>
      </c>
      <c r="I479" s="16" t="s">
        <v>1590</v>
      </c>
      <c r="J479" s="16" t="s">
        <v>1591</v>
      </c>
    </row>
    <row r="480" customFormat="false" ht="35.05" hidden="false" customHeight="false" outlineLevel="0" collapsed="false">
      <c r="A480" s="15" t="s">
        <v>339</v>
      </c>
      <c r="B480" s="16" t="s">
        <v>348</v>
      </c>
      <c r="C480" s="16" t="s">
        <v>619</v>
      </c>
      <c r="D480" s="15" t="s">
        <v>42</v>
      </c>
      <c r="E480" s="16" t="s">
        <v>701</v>
      </c>
      <c r="F480" s="15" t="n">
        <v>1</v>
      </c>
      <c r="G480" s="16" t="s">
        <v>17</v>
      </c>
      <c r="H480" s="15" t="s">
        <v>621</v>
      </c>
      <c r="I480" s="16" t="s">
        <v>1592</v>
      </c>
      <c r="J480" s="16" t="s">
        <v>1593</v>
      </c>
    </row>
    <row r="481" customFormat="false" ht="35.05" hidden="false" customHeight="false" outlineLevel="0" collapsed="false">
      <c r="A481" s="15" t="s">
        <v>339</v>
      </c>
      <c r="B481" s="16" t="s">
        <v>348</v>
      </c>
      <c r="C481" s="16" t="s">
        <v>619</v>
      </c>
      <c r="D481" s="15" t="s">
        <v>100</v>
      </c>
      <c r="E481" s="16" t="s">
        <v>878</v>
      </c>
      <c r="F481" s="15" t="n">
        <v>1</v>
      </c>
      <c r="G481" s="16" t="s">
        <v>17</v>
      </c>
      <c r="H481" s="15" t="s">
        <v>621</v>
      </c>
      <c r="I481" s="16" t="s">
        <v>1594</v>
      </c>
      <c r="J481" s="16" t="s">
        <v>1595</v>
      </c>
    </row>
    <row r="482" customFormat="false" ht="35.05" hidden="false" customHeight="false" outlineLevel="0" collapsed="false">
      <c r="A482" s="15" t="s">
        <v>339</v>
      </c>
      <c r="B482" s="16" t="s">
        <v>348</v>
      </c>
      <c r="C482" s="16" t="s">
        <v>619</v>
      </c>
      <c r="D482" s="15" t="s">
        <v>571</v>
      </c>
      <c r="E482" s="16" t="s">
        <v>637</v>
      </c>
      <c r="F482" s="15" t="n">
        <v>4</v>
      </c>
      <c r="G482" s="16" t="s">
        <v>1596</v>
      </c>
      <c r="H482" s="15" t="s">
        <v>654</v>
      </c>
      <c r="I482" s="16" t="s">
        <v>1597</v>
      </c>
      <c r="J482" s="16" t="s">
        <v>1598</v>
      </c>
    </row>
    <row r="483" customFormat="false" ht="35.05" hidden="false" customHeight="false" outlineLevel="0" collapsed="false">
      <c r="A483" s="15" t="s">
        <v>339</v>
      </c>
      <c r="B483" s="16" t="s">
        <v>348</v>
      </c>
      <c r="C483" s="16" t="s">
        <v>619</v>
      </c>
      <c r="D483" s="15" t="s">
        <v>294</v>
      </c>
      <c r="E483" s="16" t="s">
        <v>640</v>
      </c>
      <c r="F483" s="15" t="n">
        <v>2</v>
      </c>
      <c r="G483" s="16" t="s">
        <v>17</v>
      </c>
      <c r="H483" s="15" t="s">
        <v>627</v>
      </c>
      <c r="I483" s="16" t="s">
        <v>1599</v>
      </c>
      <c r="J483" s="16" t="s">
        <v>1600</v>
      </c>
    </row>
    <row r="484" customFormat="false" ht="35.05" hidden="false" customHeight="false" outlineLevel="0" collapsed="false">
      <c r="A484" s="15" t="s">
        <v>339</v>
      </c>
      <c r="B484" s="16" t="s">
        <v>348</v>
      </c>
      <c r="C484" s="16" t="s">
        <v>619</v>
      </c>
      <c r="D484" s="15" t="s">
        <v>578</v>
      </c>
      <c r="E484" s="16" t="s">
        <v>666</v>
      </c>
      <c r="F484" s="15" t="n">
        <v>3</v>
      </c>
      <c r="G484" s="16" t="s">
        <v>17</v>
      </c>
      <c r="H484" s="15" t="s">
        <v>627</v>
      </c>
      <c r="I484" s="16" t="s">
        <v>1601</v>
      </c>
      <c r="J484" s="16" t="s">
        <v>1602</v>
      </c>
    </row>
    <row r="485" customFormat="false" ht="35.05" hidden="false" customHeight="false" outlineLevel="0" collapsed="false">
      <c r="A485" s="15" t="s">
        <v>339</v>
      </c>
      <c r="B485" s="16" t="s">
        <v>348</v>
      </c>
      <c r="C485" s="16" t="s">
        <v>619</v>
      </c>
      <c r="D485" s="15" t="s">
        <v>346</v>
      </c>
      <c r="E485" s="16" t="s">
        <v>736</v>
      </c>
      <c r="F485" s="15" t="n">
        <v>17</v>
      </c>
      <c r="G485" s="16" t="s">
        <v>1603</v>
      </c>
      <c r="H485" s="15" t="s">
        <v>654</v>
      </c>
      <c r="I485" s="16" t="s">
        <v>1604</v>
      </c>
      <c r="J485" s="16" t="s">
        <v>1605</v>
      </c>
    </row>
    <row r="486" customFormat="false" ht="35.05" hidden="false" customHeight="false" outlineLevel="0" collapsed="false">
      <c r="A486" s="15" t="s">
        <v>339</v>
      </c>
      <c r="B486" s="16" t="s">
        <v>348</v>
      </c>
      <c r="C486" s="16" t="s">
        <v>619</v>
      </c>
      <c r="D486" s="15" t="s">
        <v>588</v>
      </c>
      <c r="E486" s="16" t="s">
        <v>982</v>
      </c>
      <c r="F486" s="15" t="n">
        <v>2</v>
      </c>
      <c r="G486" s="16" t="s">
        <v>17</v>
      </c>
      <c r="H486" s="15" t="s">
        <v>627</v>
      </c>
      <c r="I486" s="16" t="s">
        <v>1606</v>
      </c>
      <c r="J486" s="16" t="s">
        <v>1607</v>
      </c>
    </row>
    <row r="487" customFormat="false" ht="35.05" hidden="false" customHeight="false" outlineLevel="0" collapsed="false">
      <c r="A487" s="15" t="s">
        <v>339</v>
      </c>
      <c r="B487" s="16" t="s">
        <v>348</v>
      </c>
      <c r="C487" s="16" t="s">
        <v>619</v>
      </c>
      <c r="D487" s="15" t="s">
        <v>538</v>
      </c>
      <c r="E487" s="16" t="s">
        <v>1318</v>
      </c>
      <c r="F487" s="15" t="n">
        <v>2</v>
      </c>
      <c r="G487" s="16" t="s">
        <v>17</v>
      </c>
      <c r="H487" s="15" t="s">
        <v>627</v>
      </c>
      <c r="I487" s="16" t="s">
        <v>1608</v>
      </c>
      <c r="J487" s="16" t="s">
        <v>1609</v>
      </c>
    </row>
    <row r="488" customFormat="false" ht="35.05" hidden="false" customHeight="false" outlineLevel="0" collapsed="false">
      <c r="A488" s="15" t="s">
        <v>339</v>
      </c>
      <c r="B488" s="16" t="s">
        <v>352</v>
      </c>
      <c r="C488" s="16" t="s">
        <v>619</v>
      </c>
      <c r="D488" s="15" t="s">
        <v>100</v>
      </c>
      <c r="E488" s="16" t="s">
        <v>878</v>
      </c>
      <c r="F488" s="15" t="n">
        <v>1</v>
      </c>
      <c r="G488" s="16" t="s">
        <v>17</v>
      </c>
      <c r="H488" s="15" t="s">
        <v>621</v>
      </c>
      <c r="I488" s="16" t="s">
        <v>1610</v>
      </c>
      <c r="J488" s="16" t="s">
        <v>1611</v>
      </c>
    </row>
    <row r="489" customFormat="false" ht="35.05" hidden="false" customHeight="false" outlineLevel="0" collapsed="false">
      <c r="A489" s="15" t="s">
        <v>339</v>
      </c>
      <c r="B489" s="16" t="s">
        <v>352</v>
      </c>
      <c r="C489" s="16" t="s">
        <v>619</v>
      </c>
      <c r="D489" s="15" t="s">
        <v>571</v>
      </c>
      <c r="E489" s="16" t="s">
        <v>637</v>
      </c>
      <c r="F489" s="15" t="n">
        <v>19</v>
      </c>
      <c r="G489" s="16" t="s">
        <v>1612</v>
      </c>
      <c r="H489" s="15" t="s">
        <v>654</v>
      </c>
      <c r="I489" s="16" t="s">
        <v>1613</v>
      </c>
      <c r="J489" s="16" t="s">
        <v>1614</v>
      </c>
    </row>
    <row r="490" customFormat="false" ht="35.05" hidden="false" customHeight="false" outlineLevel="0" collapsed="false">
      <c r="A490" s="15" t="s">
        <v>339</v>
      </c>
      <c r="B490" s="16" t="s">
        <v>352</v>
      </c>
      <c r="C490" s="16" t="s">
        <v>619</v>
      </c>
      <c r="D490" s="15" t="s">
        <v>294</v>
      </c>
      <c r="E490" s="16" t="s">
        <v>640</v>
      </c>
      <c r="F490" s="15" t="n">
        <v>6</v>
      </c>
      <c r="G490" s="16" t="s">
        <v>1615</v>
      </c>
      <c r="H490" s="15" t="s">
        <v>654</v>
      </c>
      <c r="I490" s="16" t="s">
        <v>1616</v>
      </c>
      <c r="J490" s="16" t="s">
        <v>1617</v>
      </c>
    </row>
    <row r="491" customFormat="false" ht="35.05" hidden="false" customHeight="false" outlineLevel="0" collapsed="false">
      <c r="A491" s="15" t="s">
        <v>339</v>
      </c>
      <c r="B491" s="16" t="s">
        <v>352</v>
      </c>
      <c r="C491" s="16" t="s">
        <v>619</v>
      </c>
      <c r="D491" s="15" t="s">
        <v>575</v>
      </c>
      <c r="E491" s="16" t="s">
        <v>950</v>
      </c>
      <c r="F491" s="15" t="n">
        <v>8</v>
      </c>
      <c r="G491" s="16" t="s">
        <v>1618</v>
      </c>
      <c r="H491" s="15" t="s">
        <v>654</v>
      </c>
      <c r="I491" s="16" t="s">
        <v>1619</v>
      </c>
      <c r="J491" s="16" t="s">
        <v>1620</v>
      </c>
    </row>
    <row r="492" customFormat="false" ht="35.05" hidden="false" customHeight="false" outlineLevel="0" collapsed="false">
      <c r="A492" s="15" t="s">
        <v>339</v>
      </c>
      <c r="B492" s="16" t="s">
        <v>352</v>
      </c>
      <c r="C492" s="16" t="s">
        <v>619</v>
      </c>
      <c r="D492" s="15" t="s">
        <v>576</v>
      </c>
      <c r="E492" s="16" t="s">
        <v>953</v>
      </c>
      <c r="F492" s="15" t="n">
        <v>1</v>
      </c>
      <c r="G492" s="16" t="s">
        <v>17</v>
      </c>
      <c r="H492" s="15" t="s">
        <v>621</v>
      </c>
      <c r="I492" s="16" t="s">
        <v>1621</v>
      </c>
      <c r="J492" s="16" t="s">
        <v>1622</v>
      </c>
    </row>
    <row r="493" customFormat="false" ht="35.05" hidden="false" customHeight="false" outlineLevel="0" collapsed="false">
      <c r="A493" s="15" t="s">
        <v>339</v>
      </c>
      <c r="B493" s="16" t="s">
        <v>352</v>
      </c>
      <c r="C493" s="16" t="s">
        <v>619</v>
      </c>
      <c r="D493" s="15" t="s">
        <v>179</v>
      </c>
      <c r="E493" s="16" t="s">
        <v>693</v>
      </c>
      <c r="F493" s="15" t="n">
        <v>3</v>
      </c>
      <c r="G493" s="16" t="s">
        <v>17</v>
      </c>
      <c r="H493" s="15" t="s">
        <v>627</v>
      </c>
      <c r="I493" s="16" t="s">
        <v>1610</v>
      </c>
      <c r="J493" s="16" t="s">
        <v>1623</v>
      </c>
    </row>
    <row r="494" customFormat="false" ht="35.05" hidden="false" customHeight="false" outlineLevel="0" collapsed="false">
      <c r="A494" s="15" t="s">
        <v>339</v>
      </c>
      <c r="B494" s="16" t="s">
        <v>352</v>
      </c>
      <c r="C494" s="16" t="s">
        <v>1624</v>
      </c>
      <c r="D494" s="15" t="s">
        <v>179</v>
      </c>
      <c r="E494" s="16" t="s">
        <v>693</v>
      </c>
      <c r="F494" s="15" t="n">
        <v>1</v>
      </c>
      <c r="G494" s="16" t="s">
        <v>17</v>
      </c>
      <c r="H494" s="15" t="s">
        <v>621</v>
      </c>
      <c r="I494" s="16" t="s">
        <v>1625</v>
      </c>
      <c r="J494" s="16" t="s">
        <v>1626</v>
      </c>
    </row>
    <row r="495" customFormat="false" ht="35.05" hidden="false" customHeight="false" outlineLevel="0" collapsed="false">
      <c r="A495" s="15" t="s">
        <v>339</v>
      </c>
      <c r="B495" s="16" t="s">
        <v>352</v>
      </c>
      <c r="C495" s="16" t="s">
        <v>1627</v>
      </c>
      <c r="D495" s="15" t="s">
        <v>571</v>
      </c>
      <c r="E495" s="16" t="s">
        <v>637</v>
      </c>
      <c r="F495" s="15" t="n">
        <v>4</v>
      </c>
      <c r="G495" s="16" t="s">
        <v>17</v>
      </c>
      <c r="H495" s="15" t="s">
        <v>627</v>
      </c>
      <c r="I495" s="16" t="s">
        <v>1628</v>
      </c>
      <c r="J495" s="16" t="s">
        <v>1629</v>
      </c>
    </row>
    <row r="496" customFormat="false" ht="35.05" hidden="false" customHeight="false" outlineLevel="0" collapsed="false">
      <c r="A496" s="15" t="s">
        <v>339</v>
      </c>
      <c r="B496" s="16" t="s">
        <v>352</v>
      </c>
      <c r="C496" s="16" t="s">
        <v>1627</v>
      </c>
      <c r="D496" s="15" t="s">
        <v>179</v>
      </c>
      <c r="E496" s="16" t="s">
        <v>693</v>
      </c>
      <c r="F496" s="15" t="n">
        <v>3</v>
      </c>
      <c r="G496" s="16" t="s">
        <v>17</v>
      </c>
      <c r="H496" s="15" t="s">
        <v>627</v>
      </c>
      <c r="I496" s="16" t="s">
        <v>1630</v>
      </c>
      <c r="J496" s="16" t="s">
        <v>1631</v>
      </c>
    </row>
    <row r="497" customFormat="false" ht="35.05" hidden="false" customHeight="false" outlineLevel="0" collapsed="false">
      <c r="A497" s="15" t="s">
        <v>339</v>
      </c>
      <c r="B497" s="16" t="s">
        <v>357</v>
      </c>
      <c r="C497" s="16" t="s">
        <v>619</v>
      </c>
      <c r="D497" s="15" t="s">
        <v>575</v>
      </c>
      <c r="E497" s="16" t="s">
        <v>950</v>
      </c>
      <c r="F497" s="15" t="n">
        <v>1</v>
      </c>
      <c r="G497" s="16" t="s">
        <v>17</v>
      </c>
      <c r="H497" s="15" t="s">
        <v>621</v>
      </c>
      <c r="I497" s="16" t="s">
        <v>1632</v>
      </c>
      <c r="J497" s="16" t="s">
        <v>1633</v>
      </c>
    </row>
    <row r="498" customFormat="false" ht="35.05" hidden="false" customHeight="false" outlineLevel="0" collapsed="false">
      <c r="A498" s="15" t="s">
        <v>339</v>
      </c>
      <c r="B498" s="16" t="s">
        <v>357</v>
      </c>
      <c r="C498" s="16" t="s">
        <v>619</v>
      </c>
      <c r="D498" s="15" t="s">
        <v>369</v>
      </c>
      <c r="E498" s="16" t="s">
        <v>736</v>
      </c>
      <c r="F498" s="15" t="n">
        <v>21</v>
      </c>
      <c r="G498" s="16" t="s">
        <v>1634</v>
      </c>
      <c r="H498" s="15" t="s">
        <v>654</v>
      </c>
      <c r="I498" s="16" t="s">
        <v>1635</v>
      </c>
      <c r="J498" s="16" t="s">
        <v>1636</v>
      </c>
    </row>
    <row r="499" customFormat="false" ht="35.05" hidden="false" customHeight="false" outlineLevel="0" collapsed="false">
      <c r="A499" s="15" t="s">
        <v>339</v>
      </c>
      <c r="B499" s="16" t="s">
        <v>357</v>
      </c>
      <c r="C499" s="16" t="s">
        <v>619</v>
      </c>
      <c r="D499" s="15" t="s">
        <v>588</v>
      </c>
      <c r="E499" s="16" t="s">
        <v>982</v>
      </c>
      <c r="F499" s="15" t="n">
        <v>1</v>
      </c>
      <c r="G499" s="16" t="s">
        <v>17</v>
      </c>
      <c r="H499" s="15" t="s">
        <v>621</v>
      </c>
      <c r="I499" s="16" t="s">
        <v>1637</v>
      </c>
      <c r="J499" s="16" t="s">
        <v>1638</v>
      </c>
    </row>
    <row r="500" customFormat="false" ht="35.05" hidden="false" customHeight="false" outlineLevel="0" collapsed="false">
      <c r="A500" s="15" t="s">
        <v>339</v>
      </c>
      <c r="B500" s="16" t="s">
        <v>357</v>
      </c>
      <c r="C500" s="16" t="s">
        <v>1639</v>
      </c>
      <c r="D500" s="15" t="s">
        <v>566</v>
      </c>
      <c r="E500" s="16" t="s">
        <v>722</v>
      </c>
      <c r="F500" s="15" t="n">
        <v>1</v>
      </c>
      <c r="G500" s="16" t="s">
        <v>17</v>
      </c>
      <c r="H500" s="15" t="s">
        <v>621</v>
      </c>
      <c r="I500" s="16" t="s">
        <v>1640</v>
      </c>
      <c r="J500" s="16" t="s">
        <v>1641</v>
      </c>
    </row>
    <row r="501" customFormat="false" ht="35.05" hidden="false" customHeight="false" outlineLevel="0" collapsed="false">
      <c r="A501" s="15" t="s">
        <v>339</v>
      </c>
      <c r="B501" s="16" t="s">
        <v>357</v>
      </c>
      <c r="C501" s="16" t="s">
        <v>1639</v>
      </c>
      <c r="D501" s="15" t="s">
        <v>369</v>
      </c>
      <c r="E501" s="16" t="s">
        <v>736</v>
      </c>
      <c r="F501" s="15" t="n">
        <v>4</v>
      </c>
      <c r="G501" s="16" t="s">
        <v>17</v>
      </c>
      <c r="H501" s="15" t="s">
        <v>627</v>
      </c>
      <c r="I501" s="16" t="s">
        <v>1642</v>
      </c>
      <c r="J501" s="16" t="s">
        <v>1643</v>
      </c>
    </row>
    <row r="502" customFormat="false" ht="35.05" hidden="false" customHeight="false" outlineLevel="0" collapsed="false">
      <c r="A502" s="15" t="s">
        <v>339</v>
      </c>
      <c r="B502" s="16" t="s">
        <v>357</v>
      </c>
      <c r="C502" s="16" t="s">
        <v>1639</v>
      </c>
      <c r="D502" s="15" t="s">
        <v>586</v>
      </c>
      <c r="E502" s="16" t="s">
        <v>1644</v>
      </c>
      <c r="F502" s="15" t="n">
        <v>1</v>
      </c>
      <c r="G502" s="16" t="s">
        <v>17</v>
      </c>
      <c r="H502" s="15" t="s">
        <v>621</v>
      </c>
      <c r="I502" s="16" t="s">
        <v>1645</v>
      </c>
      <c r="J502" s="16" t="s">
        <v>1646</v>
      </c>
    </row>
    <row r="503" customFormat="false" ht="35.05" hidden="false" customHeight="false" outlineLevel="0" collapsed="false">
      <c r="A503" s="15" t="s">
        <v>339</v>
      </c>
      <c r="B503" s="16" t="s">
        <v>357</v>
      </c>
      <c r="C503" s="16" t="s">
        <v>1647</v>
      </c>
      <c r="D503" s="15" t="s">
        <v>575</v>
      </c>
      <c r="E503" s="16" t="s">
        <v>950</v>
      </c>
      <c r="F503" s="15" t="n">
        <v>5</v>
      </c>
      <c r="G503" s="16" t="s">
        <v>1648</v>
      </c>
      <c r="H503" s="15" t="s">
        <v>654</v>
      </c>
      <c r="I503" s="16" t="s">
        <v>1649</v>
      </c>
      <c r="J503" s="16" t="s">
        <v>1650</v>
      </c>
    </row>
    <row r="504" customFormat="false" ht="35.05" hidden="false" customHeight="false" outlineLevel="0" collapsed="false">
      <c r="A504" s="15" t="s">
        <v>339</v>
      </c>
      <c r="B504" s="16" t="s">
        <v>357</v>
      </c>
      <c r="C504" s="16" t="s">
        <v>1647</v>
      </c>
      <c r="D504" s="15" t="s">
        <v>577</v>
      </c>
      <c r="E504" s="16" t="s">
        <v>1111</v>
      </c>
      <c r="F504" s="15" t="n">
        <v>1</v>
      </c>
      <c r="G504" s="16" t="s">
        <v>17</v>
      </c>
      <c r="H504" s="15" t="s">
        <v>621</v>
      </c>
      <c r="I504" s="16" t="s">
        <v>1651</v>
      </c>
      <c r="J504" s="16" t="s">
        <v>1652</v>
      </c>
    </row>
    <row r="505" customFormat="false" ht="35.05" hidden="false" customHeight="false" outlineLevel="0" collapsed="false">
      <c r="A505" s="15" t="s">
        <v>339</v>
      </c>
      <c r="B505" s="16" t="s">
        <v>357</v>
      </c>
      <c r="C505" s="16" t="s">
        <v>1647</v>
      </c>
      <c r="D505" s="15" t="s">
        <v>369</v>
      </c>
      <c r="E505" s="16" t="s">
        <v>736</v>
      </c>
      <c r="F505" s="15" t="n">
        <v>1</v>
      </c>
      <c r="G505" s="16" t="s">
        <v>17</v>
      </c>
      <c r="H505" s="15" t="s">
        <v>621</v>
      </c>
      <c r="I505" s="16" t="s">
        <v>1653</v>
      </c>
      <c r="J505" s="16" t="s">
        <v>1654</v>
      </c>
    </row>
    <row r="506" customFormat="false" ht="35.05" hidden="false" customHeight="false" outlineLevel="0" collapsed="false">
      <c r="A506" s="15" t="s">
        <v>339</v>
      </c>
      <c r="B506" s="16" t="s">
        <v>357</v>
      </c>
      <c r="C506" s="16" t="s">
        <v>1655</v>
      </c>
      <c r="D506" s="15" t="s">
        <v>369</v>
      </c>
      <c r="E506" s="16" t="s">
        <v>736</v>
      </c>
      <c r="F506" s="15" t="n">
        <v>1</v>
      </c>
      <c r="G506" s="16" t="s">
        <v>17</v>
      </c>
      <c r="H506" s="15" t="s">
        <v>621</v>
      </c>
      <c r="I506" s="16" t="s">
        <v>1656</v>
      </c>
      <c r="J506" s="16" t="s">
        <v>1657</v>
      </c>
    </row>
    <row r="507" customFormat="false" ht="35.05" hidden="false" customHeight="false" outlineLevel="0" collapsed="false">
      <c r="A507" s="15" t="s">
        <v>339</v>
      </c>
      <c r="B507" s="16" t="s">
        <v>357</v>
      </c>
      <c r="C507" s="16" t="s">
        <v>1658</v>
      </c>
      <c r="D507" s="15" t="s">
        <v>369</v>
      </c>
      <c r="E507" s="16" t="s">
        <v>736</v>
      </c>
      <c r="F507" s="15" t="n">
        <v>2</v>
      </c>
      <c r="G507" s="16" t="s">
        <v>17</v>
      </c>
      <c r="H507" s="15" t="s">
        <v>627</v>
      </c>
      <c r="I507" s="16" t="s">
        <v>1659</v>
      </c>
      <c r="J507" s="16" t="s">
        <v>1660</v>
      </c>
    </row>
    <row r="508" customFormat="false" ht="35.05" hidden="false" customHeight="false" outlineLevel="0" collapsed="false">
      <c r="A508" s="15" t="s">
        <v>339</v>
      </c>
      <c r="B508" s="16" t="s">
        <v>357</v>
      </c>
      <c r="C508" s="16" t="s">
        <v>1658</v>
      </c>
      <c r="D508" s="15" t="s">
        <v>588</v>
      </c>
      <c r="E508" s="16" t="s">
        <v>982</v>
      </c>
      <c r="F508" s="15" t="n">
        <v>1</v>
      </c>
      <c r="G508" s="16" t="s">
        <v>17</v>
      </c>
      <c r="H508" s="15" t="s">
        <v>621</v>
      </c>
      <c r="I508" s="16" t="s">
        <v>1658</v>
      </c>
      <c r="J508" s="16" t="s">
        <v>1661</v>
      </c>
    </row>
    <row r="509" customFormat="false" ht="35.05" hidden="false" customHeight="false" outlineLevel="0" collapsed="false">
      <c r="A509" s="15" t="s">
        <v>339</v>
      </c>
      <c r="B509" s="16" t="s">
        <v>363</v>
      </c>
      <c r="C509" s="16" t="s">
        <v>619</v>
      </c>
      <c r="D509" s="15" t="s">
        <v>563</v>
      </c>
      <c r="E509" s="16" t="s">
        <v>649</v>
      </c>
      <c r="F509" s="15" t="n">
        <v>1</v>
      </c>
      <c r="G509" s="16" t="s">
        <v>17</v>
      </c>
      <c r="H509" s="15" t="s">
        <v>621</v>
      </c>
      <c r="I509" s="16" t="s">
        <v>1662</v>
      </c>
      <c r="J509" s="16" t="s">
        <v>1663</v>
      </c>
    </row>
    <row r="510" customFormat="false" ht="35.05" hidden="false" customHeight="false" outlineLevel="0" collapsed="false">
      <c r="A510" s="15" t="s">
        <v>339</v>
      </c>
      <c r="B510" s="16" t="s">
        <v>363</v>
      </c>
      <c r="C510" s="16" t="s">
        <v>619</v>
      </c>
      <c r="D510" s="15" t="s">
        <v>564</v>
      </c>
      <c r="E510" s="16" t="s">
        <v>660</v>
      </c>
      <c r="F510" s="15" t="n">
        <v>1</v>
      </c>
      <c r="G510" s="16" t="s">
        <v>17</v>
      </c>
      <c r="H510" s="15" t="s">
        <v>621</v>
      </c>
      <c r="I510" s="16" t="s">
        <v>1662</v>
      </c>
      <c r="J510" s="16" t="s">
        <v>1663</v>
      </c>
    </row>
    <row r="511" customFormat="false" ht="35.05" hidden="false" customHeight="false" outlineLevel="0" collapsed="false">
      <c r="A511" s="15" t="s">
        <v>339</v>
      </c>
      <c r="B511" s="16" t="s">
        <v>363</v>
      </c>
      <c r="C511" s="16" t="s">
        <v>619</v>
      </c>
      <c r="D511" s="15" t="s">
        <v>294</v>
      </c>
      <c r="E511" s="16" t="s">
        <v>640</v>
      </c>
      <c r="F511" s="15" t="n">
        <v>1</v>
      </c>
      <c r="G511" s="16" t="s">
        <v>17</v>
      </c>
      <c r="H511" s="15" t="s">
        <v>621</v>
      </c>
      <c r="I511" s="16" t="s">
        <v>1662</v>
      </c>
      <c r="J511" s="16" t="s">
        <v>1664</v>
      </c>
    </row>
    <row r="512" customFormat="false" ht="35.05" hidden="false" customHeight="false" outlineLevel="0" collapsed="false">
      <c r="A512" s="15" t="s">
        <v>339</v>
      </c>
      <c r="B512" s="16" t="s">
        <v>363</v>
      </c>
      <c r="C512" s="16" t="s">
        <v>619</v>
      </c>
      <c r="D512" s="15" t="s">
        <v>369</v>
      </c>
      <c r="E512" s="16" t="s">
        <v>736</v>
      </c>
      <c r="F512" s="15" t="n">
        <v>4</v>
      </c>
      <c r="G512" s="16" t="s">
        <v>17</v>
      </c>
      <c r="H512" s="15" t="s">
        <v>627</v>
      </c>
      <c r="I512" s="16" t="s">
        <v>1665</v>
      </c>
      <c r="J512" s="16" t="s">
        <v>1666</v>
      </c>
    </row>
    <row r="513" customFormat="false" ht="35.05" hidden="false" customHeight="false" outlineLevel="0" collapsed="false">
      <c r="A513" s="15" t="s">
        <v>339</v>
      </c>
      <c r="B513" s="16" t="s">
        <v>366</v>
      </c>
      <c r="C513" s="16" t="s">
        <v>619</v>
      </c>
      <c r="D513" s="15" t="s">
        <v>220</v>
      </c>
      <c r="E513" s="16" t="s">
        <v>646</v>
      </c>
      <c r="F513" s="15" t="n">
        <v>1</v>
      </c>
      <c r="G513" s="16" t="s">
        <v>17</v>
      </c>
      <c r="H513" s="15" t="s">
        <v>621</v>
      </c>
      <c r="I513" s="16" t="s">
        <v>1667</v>
      </c>
      <c r="J513" s="16" t="s">
        <v>1668</v>
      </c>
    </row>
    <row r="514" customFormat="false" ht="35.05" hidden="false" customHeight="false" outlineLevel="0" collapsed="false">
      <c r="A514" s="15" t="s">
        <v>339</v>
      </c>
      <c r="B514" s="16" t="s">
        <v>366</v>
      </c>
      <c r="C514" s="16" t="s">
        <v>619</v>
      </c>
      <c r="D514" s="15" t="s">
        <v>369</v>
      </c>
      <c r="E514" s="16" t="s">
        <v>736</v>
      </c>
      <c r="F514" s="15" t="n">
        <v>8</v>
      </c>
      <c r="G514" s="16" t="s">
        <v>1669</v>
      </c>
      <c r="H514" s="15" t="s">
        <v>654</v>
      </c>
      <c r="I514" s="16" t="s">
        <v>1670</v>
      </c>
      <c r="J514" s="16" t="s">
        <v>1671</v>
      </c>
    </row>
    <row r="515" customFormat="false" ht="35.05" hidden="false" customHeight="false" outlineLevel="0" collapsed="false">
      <c r="A515" s="15" t="s">
        <v>339</v>
      </c>
      <c r="B515" s="16" t="s">
        <v>366</v>
      </c>
      <c r="C515" s="16" t="s">
        <v>619</v>
      </c>
      <c r="D515" s="15" t="s">
        <v>594</v>
      </c>
      <c r="E515" s="16" t="s">
        <v>941</v>
      </c>
      <c r="F515" s="15" t="n">
        <v>1</v>
      </c>
      <c r="G515" s="16" t="s">
        <v>17</v>
      </c>
      <c r="H515" s="15" t="s">
        <v>621</v>
      </c>
      <c r="I515" s="16" t="s">
        <v>1672</v>
      </c>
      <c r="J515" s="16" t="s">
        <v>1673</v>
      </c>
    </row>
    <row r="516" customFormat="false" ht="35.05" hidden="false" customHeight="false" outlineLevel="0" collapsed="false">
      <c r="A516" s="15" t="s">
        <v>339</v>
      </c>
      <c r="B516" s="16" t="s">
        <v>370</v>
      </c>
      <c r="C516" s="16" t="s">
        <v>619</v>
      </c>
      <c r="D516" s="15" t="s">
        <v>76</v>
      </c>
      <c r="E516" s="16" t="s">
        <v>660</v>
      </c>
      <c r="F516" s="15" t="n">
        <v>1</v>
      </c>
      <c r="G516" s="16" t="s">
        <v>17</v>
      </c>
      <c r="H516" s="15" t="s">
        <v>621</v>
      </c>
      <c r="I516" s="16" t="s">
        <v>1674</v>
      </c>
      <c r="J516" s="16" t="s">
        <v>1675</v>
      </c>
    </row>
    <row r="517" customFormat="false" ht="35.05" hidden="false" customHeight="false" outlineLevel="0" collapsed="false">
      <c r="A517" s="15" t="s">
        <v>339</v>
      </c>
      <c r="B517" s="16" t="s">
        <v>370</v>
      </c>
      <c r="C517" s="16" t="s">
        <v>619</v>
      </c>
      <c r="D517" s="15" t="s">
        <v>369</v>
      </c>
      <c r="E517" s="16" t="s">
        <v>736</v>
      </c>
      <c r="F517" s="15" t="n">
        <v>1</v>
      </c>
      <c r="G517" s="16" t="s">
        <v>17</v>
      </c>
      <c r="H517" s="15" t="s">
        <v>621</v>
      </c>
      <c r="I517" s="16" t="s">
        <v>1674</v>
      </c>
      <c r="J517" s="16" t="s">
        <v>1676</v>
      </c>
    </row>
    <row r="518" customFormat="false" ht="35.05" hidden="false" customHeight="false" outlineLevel="0" collapsed="false">
      <c r="A518" s="15" t="s">
        <v>373</v>
      </c>
      <c r="B518" s="16" t="s">
        <v>374</v>
      </c>
      <c r="C518" s="16" t="s">
        <v>619</v>
      </c>
      <c r="D518" s="15" t="s">
        <v>408</v>
      </c>
      <c r="E518" s="16" t="s">
        <v>904</v>
      </c>
      <c r="F518" s="15" t="n">
        <v>1</v>
      </c>
      <c r="G518" s="16" t="s">
        <v>17</v>
      </c>
      <c r="H518" s="15" t="s">
        <v>621</v>
      </c>
      <c r="I518" s="16" t="s">
        <v>1677</v>
      </c>
      <c r="J518" s="16" t="s">
        <v>1678</v>
      </c>
    </row>
    <row r="519" customFormat="false" ht="35.05" hidden="false" customHeight="false" outlineLevel="0" collapsed="false">
      <c r="A519" s="15" t="s">
        <v>373</v>
      </c>
      <c r="B519" s="16" t="s">
        <v>374</v>
      </c>
      <c r="C519" s="16" t="s">
        <v>619</v>
      </c>
      <c r="D519" s="15" t="s">
        <v>585</v>
      </c>
      <c r="E519" s="16" t="s">
        <v>907</v>
      </c>
      <c r="F519" s="15" t="n">
        <v>1</v>
      </c>
      <c r="G519" s="16" t="s">
        <v>17</v>
      </c>
      <c r="H519" s="15" t="s">
        <v>621</v>
      </c>
      <c r="I519" s="16" t="s">
        <v>1679</v>
      </c>
      <c r="J519" s="16" t="s">
        <v>1680</v>
      </c>
    </row>
    <row r="520" customFormat="false" ht="35.05" hidden="false" customHeight="false" outlineLevel="0" collapsed="false">
      <c r="A520" s="15" t="s">
        <v>373</v>
      </c>
      <c r="B520" s="16" t="s">
        <v>374</v>
      </c>
      <c r="C520" s="16" t="s">
        <v>619</v>
      </c>
      <c r="D520" s="15" t="s">
        <v>593</v>
      </c>
      <c r="E520" s="16" t="s">
        <v>1681</v>
      </c>
      <c r="F520" s="15" t="n">
        <v>1</v>
      </c>
      <c r="G520" s="16" t="s">
        <v>17</v>
      </c>
      <c r="H520" s="15" t="s">
        <v>621</v>
      </c>
      <c r="I520" s="16" t="s">
        <v>1679</v>
      </c>
      <c r="J520" s="16" t="s">
        <v>1682</v>
      </c>
    </row>
    <row r="521" customFormat="false" ht="35.05" hidden="false" customHeight="false" outlineLevel="0" collapsed="false">
      <c r="A521" s="15" t="s">
        <v>373</v>
      </c>
      <c r="B521" s="16" t="s">
        <v>377</v>
      </c>
      <c r="C521" s="16" t="s">
        <v>619</v>
      </c>
      <c r="D521" s="15" t="s">
        <v>420</v>
      </c>
      <c r="E521" s="16" t="s">
        <v>772</v>
      </c>
      <c r="F521" s="15" t="n">
        <v>1</v>
      </c>
      <c r="G521" s="16" t="s">
        <v>17</v>
      </c>
      <c r="H521" s="15" t="s">
        <v>621</v>
      </c>
      <c r="I521" s="16" t="s">
        <v>1683</v>
      </c>
      <c r="J521" s="16" t="s">
        <v>1684</v>
      </c>
    </row>
    <row r="522" customFormat="false" ht="35.05" hidden="false" customHeight="false" outlineLevel="0" collapsed="false">
      <c r="A522" s="15" t="s">
        <v>373</v>
      </c>
      <c r="B522" s="16" t="s">
        <v>377</v>
      </c>
      <c r="C522" s="16" t="s">
        <v>619</v>
      </c>
      <c r="D522" s="15" t="s">
        <v>408</v>
      </c>
      <c r="E522" s="16" t="s">
        <v>904</v>
      </c>
      <c r="F522" s="15" t="n">
        <v>2</v>
      </c>
      <c r="G522" s="16" t="s">
        <v>17</v>
      </c>
      <c r="H522" s="15" t="s">
        <v>627</v>
      </c>
      <c r="I522" s="16" t="s">
        <v>1685</v>
      </c>
      <c r="J522" s="16" t="s">
        <v>1686</v>
      </c>
    </row>
    <row r="523" customFormat="false" ht="35.05" hidden="false" customHeight="false" outlineLevel="0" collapsed="false">
      <c r="A523" s="15" t="s">
        <v>373</v>
      </c>
      <c r="B523" s="16" t="s">
        <v>377</v>
      </c>
      <c r="C523" s="16" t="s">
        <v>619</v>
      </c>
      <c r="D523" s="15" t="s">
        <v>109</v>
      </c>
      <c r="E523" s="16" t="s">
        <v>742</v>
      </c>
      <c r="F523" s="15" t="n">
        <v>1</v>
      </c>
      <c r="G523" s="16" t="s">
        <v>17</v>
      </c>
      <c r="H523" s="15" t="s">
        <v>621</v>
      </c>
      <c r="I523" s="16" t="s">
        <v>1687</v>
      </c>
      <c r="J523" s="16" t="s">
        <v>1688</v>
      </c>
    </row>
    <row r="524" customFormat="false" ht="35.05" hidden="false" customHeight="false" outlineLevel="0" collapsed="false">
      <c r="A524" s="15" t="s">
        <v>373</v>
      </c>
      <c r="B524" s="16" t="s">
        <v>377</v>
      </c>
      <c r="C524" s="16" t="s">
        <v>619</v>
      </c>
      <c r="D524" s="15" t="s">
        <v>590</v>
      </c>
      <c r="E524" s="16" t="s">
        <v>909</v>
      </c>
      <c r="F524" s="15" t="n">
        <v>1</v>
      </c>
      <c r="G524" s="16" t="s">
        <v>17</v>
      </c>
      <c r="H524" s="15" t="s">
        <v>621</v>
      </c>
      <c r="I524" s="16" t="s">
        <v>1689</v>
      </c>
      <c r="J524" s="16" t="s">
        <v>1690</v>
      </c>
    </row>
    <row r="525" customFormat="false" ht="35.05" hidden="false" customHeight="false" outlineLevel="0" collapsed="false">
      <c r="A525" s="15" t="s">
        <v>373</v>
      </c>
      <c r="B525" s="16" t="s">
        <v>377</v>
      </c>
      <c r="C525" s="16" t="s">
        <v>619</v>
      </c>
      <c r="D525" s="15" t="s">
        <v>595</v>
      </c>
      <c r="E525" s="16" t="s">
        <v>1691</v>
      </c>
      <c r="F525" s="15" t="n">
        <v>1</v>
      </c>
      <c r="G525" s="16" t="s">
        <v>17</v>
      </c>
      <c r="H525" s="15" t="s">
        <v>621</v>
      </c>
      <c r="I525" s="16" t="s">
        <v>1687</v>
      </c>
      <c r="J525" s="16" t="s">
        <v>1692</v>
      </c>
    </row>
    <row r="526" customFormat="false" ht="35.05" hidden="false" customHeight="false" outlineLevel="0" collapsed="false">
      <c r="A526" s="15" t="s">
        <v>373</v>
      </c>
      <c r="B526" s="16" t="s">
        <v>380</v>
      </c>
      <c r="C526" s="16" t="s">
        <v>619</v>
      </c>
      <c r="D526" s="15" t="s">
        <v>565</v>
      </c>
      <c r="E526" s="16" t="s">
        <v>896</v>
      </c>
      <c r="F526" s="15" t="n">
        <v>1</v>
      </c>
      <c r="G526" s="16" t="s">
        <v>17</v>
      </c>
      <c r="H526" s="15" t="s">
        <v>621</v>
      </c>
      <c r="I526" s="16" t="s">
        <v>1693</v>
      </c>
      <c r="J526" s="16" t="s">
        <v>1694</v>
      </c>
    </row>
    <row r="527" customFormat="false" ht="35.05" hidden="false" customHeight="false" outlineLevel="0" collapsed="false">
      <c r="A527" s="15" t="s">
        <v>373</v>
      </c>
      <c r="B527" s="16" t="s">
        <v>380</v>
      </c>
      <c r="C527" s="16" t="s">
        <v>619</v>
      </c>
      <c r="D527" s="15" t="s">
        <v>383</v>
      </c>
      <c r="E527" s="16" t="s">
        <v>626</v>
      </c>
      <c r="F527" s="15" t="n">
        <v>6</v>
      </c>
      <c r="G527" s="16" t="s">
        <v>17</v>
      </c>
      <c r="H527" s="15" t="s">
        <v>654</v>
      </c>
      <c r="I527" s="16" t="s">
        <v>1695</v>
      </c>
      <c r="J527" s="16" t="s">
        <v>1696</v>
      </c>
    </row>
    <row r="528" customFormat="false" ht="35.05" hidden="false" customHeight="false" outlineLevel="0" collapsed="false">
      <c r="A528" s="15" t="s">
        <v>373</v>
      </c>
      <c r="B528" s="16" t="s">
        <v>380</v>
      </c>
      <c r="C528" s="16" t="s">
        <v>619</v>
      </c>
      <c r="D528" s="15" t="s">
        <v>589</v>
      </c>
      <c r="E528" s="16" t="s">
        <v>1372</v>
      </c>
      <c r="F528" s="15" t="n">
        <v>2</v>
      </c>
      <c r="G528" s="16" t="s">
        <v>17</v>
      </c>
      <c r="H528" s="15" t="s">
        <v>627</v>
      </c>
      <c r="I528" s="16" t="s">
        <v>1697</v>
      </c>
      <c r="J528" s="16" t="s">
        <v>1698</v>
      </c>
    </row>
    <row r="529" customFormat="false" ht="46.25" hidden="false" customHeight="false" outlineLevel="0" collapsed="false">
      <c r="A529" s="15" t="s">
        <v>384</v>
      </c>
      <c r="B529" s="16" t="s">
        <v>385</v>
      </c>
      <c r="C529" s="16" t="s">
        <v>619</v>
      </c>
      <c r="D529" s="15" t="s">
        <v>20</v>
      </c>
      <c r="E529" s="16" t="s">
        <v>620</v>
      </c>
      <c r="F529" s="15" t="n">
        <v>4</v>
      </c>
      <c r="G529" s="16" t="s">
        <v>17</v>
      </c>
      <c r="H529" s="15" t="s">
        <v>627</v>
      </c>
      <c r="I529" s="16" t="s">
        <v>1699</v>
      </c>
      <c r="J529" s="16" t="s">
        <v>1700</v>
      </c>
    </row>
    <row r="530" customFormat="false" ht="35.05" hidden="false" customHeight="false" outlineLevel="0" collapsed="false">
      <c r="A530" s="15" t="s">
        <v>384</v>
      </c>
      <c r="B530" s="16" t="s">
        <v>385</v>
      </c>
      <c r="C530" s="16" t="s">
        <v>619</v>
      </c>
      <c r="D530" s="15" t="s">
        <v>388</v>
      </c>
      <c r="E530" s="16" t="s">
        <v>1701</v>
      </c>
      <c r="F530" s="15" t="n">
        <v>23</v>
      </c>
      <c r="G530" s="16" t="s">
        <v>1702</v>
      </c>
      <c r="H530" s="15" t="s">
        <v>654</v>
      </c>
      <c r="I530" s="16" t="s">
        <v>1703</v>
      </c>
      <c r="J530" s="16" t="s">
        <v>1704</v>
      </c>
    </row>
    <row r="531" customFormat="false" ht="35.05" hidden="false" customHeight="false" outlineLevel="0" collapsed="false">
      <c r="A531" s="15" t="s">
        <v>384</v>
      </c>
      <c r="B531" s="16" t="s">
        <v>385</v>
      </c>
      <c r="C531" s="16" t="s">
        <v>619</v>
      </c>
      <c r="D531" s="15" t="s">
        <v>402</v>
      </c>
      <c r="E531" s="16" t="s">
        <v>738</v>
      </c>
      <c r="F531" s="15" t="n">
        <v>1</v>
      </c>
      <c r="G531" s="16" t="s">
        <v>17</v>
      </c>
      <c r="H531" s="15" t="s">
        <v>621</v>
      </c>
      <c r="I531" s="16" t="s">
        <v>1705</v>
      </c>
      <c r="J531" s="16" t="s">
        <v>1706</v>
      </c>
    </row>
    <row r="532" customFormat="false" ht="35.05" hidden="false" customHeight="false" outlineLevel="0" collapsed="false">
      <c r="A532" s="15" t="s">
        <v>384</v>
      </c>
      <c r="B532" s="16" t="s">
        <v>385</v>
      </c>
      <c r="C532" s="16" t="s">
        <v>389</v>
      </c>
      <c r="D532" s="15" t="s">
        <v>388</v>
      </c>
      <c r="E532" s="16" t="s">
        <v>1701</v>
      </c>
      <c r="F532" s="15" t="n">
        <v>3</v>
      </c>
      <c r="G532" s="16" t="s">
        <v>17</v>
      </c>
      <c r="H532" s="15" t="s">
        <v>627</v>
      </c>
      <c r="I532" s="16" t="s">
        <v>1707</v>
      </c>
      <c r="J532" s="16" t="s">
        <v>1708</v>
      </c>
    </row>
    <row r="533" customFormat="false" ht="35.05" hidden="false" customHeight="false" outlineLevel="0" collapsed="false">
      <c r="A533" s="15" t="s">
        <v>384</v>
      </c>
      <c r="B533" s="16" t="s">
        <v>385</v>
      </c>
      <c r="C533" s="16" t="s">
        <v>389</v>
      </c>
      <c r="D533" s="15" t="s">
        <v>402</v>
      </c>
      <c r="E533" s="16" t="s">
        <v>738</v>
      </c>
      <c r="F533" s="15" t="n">
        <v>1</v>
      </c>
      <c r="G533" s="16" t="s">
        <v>17</v>
      </c>
      <c r="H533" s="15" t="s">
        <v>621</v>
      </c>
      <c r="I533" s="16" t="s">
        <v>1709</v>
      </c>
      <c r="J533" s="16" t="s">
        <v>1710</v>
      </c>
    </row>
    <row r="534" customFormat="false" ht="35.05" hidden="false" customHeight="false" outlineLevel="0" collapsed="false">
      <c r="A534" s="15" t="s">
        <v>384</v>
      </c>
      <c r="B534" s="16" t="s">
        <v>385</v>
      </c>
      <c r="C534" s="16" t="s">
        <v>389</v>
      </c>
      <c r="D534" s="15" t="s">
        <v>390</v>
      </c>
      <c r="E534" s="16" t="s">
        <v>740</v>
      </c>
      <c r="F534" s="15" t="n">
        <v>2</v>
      </c>
      <c r="G534" s="16" t="s">
        <v>17</v>
      </c>
      <c r="H534" s="15" t="s">
        <v>627</v>
      </c>
      <c r="I534" s="16" t="s">
        <v>1711</v>
      </c>
      <c r="J534" s="16" t="s">
        <v>1712</v>
      </c>
    </row>
    <row r="535" customFormat="false" ht="35.05" hidden="false" customHeight="false" outlineLevel="0" collapsed="false">
      <c r="A535" s="15" t="s">
        <v>384</v>
      </c>
      <c r="B535" s="16" t="s">
        <v>391</v>
      </c>
      <c r="C535" s="16" t="s">
        <v>619</v>
      </c>
      <c r="D535" s="15" t="s">
        <v>296</v>
      </c>
      <c r="E535" s="16" t="s">
        <v>714</v>
      </c>
      <c r="F535" s="15" t="n">
        <v>1</v>
      </c>
      <c r="G535" s="16" t="s">
        <v>17</v>
      </c>
      <c r="H535" s="15" t="s">
        <v>621</v>
      </c>
      <c r="I535" s="16" t="s">
        <v>1713</v>
      </c>
      <c r="J535" s="16" t="s">
        <v>1714</v>
      </c>
    </row>
    <row r="536" customFormat="false" ht="46.25" hidden="false" customHeight="false" outlineLevel="0" collapsed="false">
      <c r="A536" s="15" t="s">
        <v>384</v>
      </c>
      <c r="B536" s="16" t="s">
        <v>391</v>
      </c>
      <c r="C536" s="16" t="s">
        <v>619</v>
      </c>
      <c r="D536" s="15" t="s">
        <v>388</v>
      </c>
      <c r="E536" s="16" t="s">
        <v>1701</v>
      </c>
      <c r="F536" s="15" t="n">
        <v>11</v>
      </c>
      <c r="G536" s="16" t="s">
        <v>17</v>
      </c>
      <c r="H536" s="15" t="s">
        <v>654</v>
      </c>
      <c r="I536" s="16" t="s">
        <v>1715</v>
      </c>
      <c r="J536" s="16" t="s">
        <v>1716</v>
      </c>
    </row>
    <row r="537" customFormat="false" ht="35.05" hidden="false" customHeight="false" outlineLevel="0" collapsed="false">
      <c r="A537" s="15" t="s">
        <v>384</v>
      </c>
      <c r="B537" s="16" t="s">
        <v>391</v>
      </c>
      <c r="C537" s="16" t="s">
        <v>619</v>
      </c>
      <c r="D537" s="15" t="s">
        <v>585</v>
      </c>
      <c r="E537" s="16" t="s">
        <v>907</v>
      </c>
      <c r="F537" s="15" t="n">
        <v>1</v>
      </c>
      <c r="G537" s="16" t="s">
        <v>17</v>
      </c>
      <c r="H537" s="15" t="s">
        <v>621</v>
      </c>
      <c r="I537" s="16" t="s">
        <v>1717</v>
      </c>
      <c r="J537" s="16" t="s">
        <v>1718</v>
      </c>
    </row>
    <row r="538" customFormat="false" ht="35.05" hidden="false" customHeight="false" outlineLevel="0" collapsed="false">
      <c r="A538" s="15" t="s">
        <v>384</v>
      </c>
      <c r="B538" s="16" t="s">
        <v>394</v>
      </c>
      <c r="C538" s="16" t="s">
        <v>619</v>
      </c>
      <c r="D538" s="15" t="s">
        <v>388</v>
      </c>
      <c r="E538" s="16" t="s">
        <v>1701</v>
      </c>
      <c r="F538" s="15" t="n">
        <v>6</v>
      </c>
      <c r="G538" s="16" t="s">
        <v>1719</v>
      </c>
      <c r="H538" s="15" t="s">
        <v>654</v>
      </c>
      <c r="I538" s="16" t="s">
        <v>1720</v>
      </c>
      <c r="J538" s="16" t="s">
        <v>1721</v>
      </c>
    </row>
    <row r="539" customFormat="false" ht="35.05" hidden="false" customHeight="false" outlineLevel="0" collapsed="false">
      <c r="A539" s="15" t="s">
        <v>384</v>
      </c>
      <c r="B539" s="16" t="s">
        <v>394</v>
      </c>
      <c r="C539" s="16" t="s">
        <v>619</v>
      </c>
      <c r="D539" s="15" t="s">
        <v>402</v>
      </c>
      <c r="E539" s="16" t="s">
        <v>738</v>
      </c>
      <c r="F539" s="15" t="n">
        <v>3</v>
      </c>
      <c r="G539" s="16" t="s">
        <v>17</v>
      </c>
      <c r="H539" s="15" t="s">
        <v>627</v>
      </c>
      <c r="I539" s="16" t="s">
        <v>1722</v>
      </c>
      <c r="J539" s="16" t="s">
        <v>1723</v>
      </c>
    </row>
    <row r="540" customFormat="false" ht="35.05" hidden="false" customHeight="false" outlineLevel="0" collapsed="false">
      <c r="A540" s="15" t="s">
        <v>384</v>
      </c>
      <c r="B540" s="16" t="s">
        <v>394</v>
      </c>
      <c r="C540" s="16" t="s">
        <v>619</v>
      </c>
      <c r="D540" s="15" t="s">
        <v>420</v>
      </c>
      <c r="E540" s="16" t="s">
        <v>772</v>
      </c>
      <c r="F540" s="15" t="n">
        <v>1</v>
      </c>
      <c r="G540" s="16" t="s">
        <v>17</v>
      </c>
      <c r="H540" s="15" t="s">
        <v>621</v>
      </c>
      <c r="I540" s="16" t="s">
        <v>394</v>
      </c>
      <c r="J540" s="16" t="s">
        <v>1724</v>
      </c>
    </row>
    <row r="541" customFormat="false" ht="35.05" hidden="false" customHeight="false" outlineLevel="0" collapsed="false">
      <c r="A541" s="15" t="s">
        <v>384</v>
      </c>
      <c r="B541" s="16" t="s">
        <v>394</v>
      </c>
      <c r="C541" s="16" t="s">
        <v>619</v>
      </c>
      <c r="D541" s="15" t="s">
        <v>585</v>
      </c>
      <c r="E541" s="16" t="s">
        <v>907</v>
      </c>
      <c r="F541" s="15" t="n">
        <v>2</v>
      </c>
      <c r="G541" s="16" t="s">
        <v>17</v>
      </c>
      <c r="H541" s="15" t="s">
        <v>627</v>
      </c>
      <c r="I541" s="16" t="s">
        <v>1725</v>
      </c>
      <c r="J541" s="16" t="s">
        <v>1726</v>
      </c>
    </row>
    <row r="542" customFormat="false" ht="35.05" hidden="false" customHeight="false" outlineLevel="0" collapsed="false">
      <c r="A542" s="15" t="s">
        <v>384</v>
      </c>
      <c r="B542" s="16" t="s">
        <v>394</v>
      </c>
      <c r="C542" s="16" t="s">
        <v>1727</v>
      </c>
      <c r="D542" s="15" t="s">
        <v>398</v>
      </c>
      <c r="E542" s="16" t="s">
        <v>641</v>
      </c>
      <c r="F542" s="15" t="n">
        <v>1</v>
      </c>
      <c r="G542" s="16" t="s">
        <v>17</v>
      </c>
      <c r="H542" s="15" t="s">
        <v>621</v>
      </c>
      <c r="I542" s="16" t="s">
        <v>1728</v>
      </c>
      <c r="J542" s="16" t="s">
        <v>1729</v>
      </c>
    </row>
    <row r="543" customFormat="false" ht="35.05" hidden="false" customHeight="false" outlineLevel="0" collapsed="false">
      <c r="A543" s="15" t="s">
        <v>384</v>
      </c>
      <c r="B543" s="16" t="s">
        <v>394</v>
      </c>
      <c r="C543" s="16" t="s">
        <v>1727</v>
      </c>
      <c r="D543" s="15" t="s">
        <v>388</v>
      </c>
      <c r="E543" s="16" t="s">
        <v>1701</v>
      </c>
      <c r="F543" s="15" t="n">
        <v>1</v>
      </c>
      <c r="G543" s="16" t="s">
        <v>17</v>
      </c>
      <c r="H543" s="15" t="s">
        <v>621</v>
      </c>
      <c r="I543" s="16" t="s">
        <v>1730</v>
      </c>
      <c r="J543" s="16" t="s">
        <v>1731</v>
      </c>
    </row>
    <row r="544" customFormat="false" ht="35.05" hidden="false" customHeight="false" outlineLevel="0" collapsed="false">
      <c r="A544" s="15" t="s">
        <v>384</v>
      </c>
      <c r="B544" s="16" t="s">
        <v>394</v>
      </c>
      <c r="C544" s="16" t="s">
        <v>1727</v>
      </c>
      <c r="D544" s="15" t="s">
        <v>402</v>
      </c>
      <c r="E544" s="16" t="s">
        <v>738</v>
      </c>
      <c r="F544" s="15" t="n">
        <v>2</v>
      </c>
      <c r="G544" s="16" t="s">
        <v>17</v>
      </c>
      <c r="H544" s="15" t="s">
        <v>627</v>
      </c>
      <c r="I544" s="16" t="s">
        <v>1732</v>
      </c>
      <c r="J544" s="16" t="s">
        <v>1733</v>
      </c>
    </row>
    <row r="545" customFormat="false" ht="35.05" hidden="false" customHeight="false" outlineLevel="0" collapsed="false">
      <c r="A545" s="15" t="s">
        <v>384</v>
      </c>
      <c r="B545" s="16" t="s">
        <v>394</v>
      </c>
      <c r="C545" s="16" t="s">
        <v>1727</v>
      </c>
      <c r="D545" s="15" t="s">
        <v>420</v>
      </c>
      <c r="E545" s="16" t="s">
        <v>772</v>
      </c>
      <c r="F545" s="15" t="n">
        <v>1</v>
      </c>
      <c r="G545" s="16" t="s">
        <v>17</v>
      </c>
      <c r="H545" s="15" t="s">
        <v>621</v>
      </c>
      <c r="I545" s="16" t="s">
        <v>1730</v>
      </c>
      <c r="J545" s="16" t="s">
        <v>1734</v>
      </c>
    </row>
    <row r="546" customFormat="false" ht="35.05" hidden="false" customHeight="false" outlineLevel="0" collapsed="false">
      <c r="A546" s="15" t="s">
        <v>384</v>
      </c>
      <c r="B546" s="16" t="s">
        <v>394</v>
      </c>
      <c r="C546" s="16" t="s">
        <v>1735</v>
      </c>
      <c r="D546" s="15" t="s">
        <v>388</v>
      </c>
      <c r="E546" s="16" t="s">
        <v>1701</v>
      </c>
      <c r="F546" s="15" t="n">
        <v>1</v>
      </c>
      <c r="G546" s="16" t="s">
        <v>17</v>
      </c>
      <c r="H546" s="15" t="s">
        <v>621</v>
      </c>
      <c r="I546" s="16" t="s">
        <v>1736</v>
      </c>
      <c r="J546" s="16" t="s">
        <v>1737</v>
      </c>
    </row>
    <row r="547" customFormat="false" ht="35.05" hidden="false" customHeight="false" outlineLevel="0" collapsed="false">
      <c r="A547" s="15" t="s">
        <v>384</v>
      </c>
      <c r="B547" s="16" t="s">
        <v>399</v>
      </c>
      <c r="C547" s="16" t="s">
        <v>619</v>
      </c>
      <c r="D547" s="15" t="s">
        <v>388</v>
      </c>
      <c r="E547" s="16" t="s">
        <v>1701</v>
      </c>
      <c r="F547" s="15" t="n">
        <v>1</v>
      </c>
      <c r="G547" s="16" t="s">
        <v>17</v>
      </c>
      <c r="H547" s="15" t="s">
        <v>621</v>
      </c>
      <c r="I547" s="16" t="s">
        <v>1738</v>
      </c>
      <c r="J547" s="16" t="s">
        <v>1739</v>
      </c>
    </row>
    <row r="548" customFormat="false" ht="35.05" hidden="false" customHeight="false" outlineLevel="0" collapsed="false">
      <c r="A548" s="15" t="s">
        <v>384</v>
      </c>
      <c r="B548" s="16" t="s">
        <v>399</v>
      </c>
      <c r="C548" s="16" t="s">
        <v>619</v>
      </c>
      <c r="D548" s="15" t="s">
        <v>402</v>
      </c>
      <c r="E548" s="16" t="s">
        <v>738</v>
      </c>
      <c r="F548" s="15" t="n">
        <v>15</v>
      </c>
      <c r="G548" s="16" t="s">
        <v>17</v>
      </c>
      <c r="H548" s="15" t="s">
        <v>654</v>
      </c>
      <c r="I548" s="16" t="s">
        <v>1740</v>
      </c>
      <c r="J548" s="16" t="s">
        <v>1741</v>
      </c>
    </row>
    <row r="549" customFormat="false" ht="35.05" hidden="false" customHeight="false" outlineLevel="0" collapsed="false">
      <c r="A549" s="15" t="s">
        <v>384</v>
      </c>
      <c r="B549" s="16" t="s">
        <v>399</v>
      </c>
      <c r="C549" s="16" t="s">
        <v>619</v>
      </c>
      <c r="D549" s="15" t="s">
        <v>390</v>
      </c>
      <c r="E549" s="16" t="s">
        <v>740</v>
      </c>
      <c r="F549" s="15" t="n">
        <v>4</v>
      </c>
      <c r="G549" s="16" t="s">
        <v>17</v>
      </c>
      <c r="H549" s="15" t="s">
        <v>627</v>
      </c>
      <c r="I549" s="16" t="s">
        <v>1742</v>
      </c>
      <c r="J549" s="16" t="s">
        <v>1743</v>
      </c>
    </row>
    <row r="550" customFormat="false" ht="35.05" hidden="false" customHeight="false" outlineLevel="0" collapsed="false">
      <c r="A550" s="15" t="s">
        <v>384</v>
      </c>
      <c r="B550" s="16" t="s">
        <v>399</v>
      </c>
      <c r="C550" s="16" t="s">
        <v>619</v>
      </c>
      <c r="D550" s="15" t="s">
        <v>109</v>
      </c>
      <c r="E550" s="16" t="s">
        <v>742</v>
      </c>
      <c r="F550" s="15" t="n">
        <v>2</v>
      </c>
      <c r="G550" s="16" t="s">
        <v>17</v>
      </c>
      <c r="H550" s="15" t="s">
        <v>627</v>
      </c>
      <c r="I550" s="16" t="s">
        <v>1744</v>
      </c>
      <c r="J550" s="16" t="s">
        <v>1745</v>
      </c>
    </row>
    <row r="551" customFormat="false" ht="35.05" hidden="false" customHeight="false" outlineLevel="0" collapsed="false">
      <c r="A551" s="15" t="s">
        <v>384</v>
      </c>
      <c r="B551" s="16" t="s">
        <v>399</v>
      </c>
      <c r="C551" s="16" t="s">
        <v>619</v>
      </c>
      <c r="D551" s="15" t="s">
        <v>473</v>
      </c>
      <c r="E551" s="16" t="s">
        <v>775</v>
      </c>
      <c r="F551" s="15" t="n">
        <v>1</v>
      </c>
      <c r="G551" s="16" t="s">
        <v>17</v>
      </c>
      <c r="H551" s="15" t="s">
        <v>621</v>
      </c>
      <c r="I551" s="16" t="s">
        <v>1746</v>
      </c>
      <c r="J551" s="16" t="s">
        <v>1747</v>
      </c>
    </row>
    <row r="552" customFormat="false" ht="35.05" hidden="false" customHeight="false" outlineLevel="0" collapsed="false">
      <c r="A552" s="15" t="s">
        <v>384</v>
      </c>
      <c r="B552" s="16" t="s">
        <v>399</v>
      </c>
      <c r="C552" s="16" t="s">
        <v>619</v>
      </c>
      <c r="D552" s="15" t="s">
        <v>469</v>
      </c>
      <c r="E552" s="16" t="s">
        <v>1183</v>
      </c>
      <c r="F552" s="15" t="n">
        <v>1</v>
      </c>
      <c r="G552" s="16" t="s">
        <v>17</v>
      </c>
      <c r="H552" s="15" t="s">
        <v>621</v>
      </c>
      <c r="I552" s="16" t="s">
        <v>1748</v>
      </c>
      <c r="J552" s="16" t="s">
        <v>1749</v>
      </c>
    </row>
    <row r="553" customFormat="false" ht="35.05" hidden="false" customHeight="false" outlineLevel="0" collapsed="false">
      <c r="A553" s="15" t="s">
        <v>384</v>
      </c>
      <c r="B553" s="16" t="s">
        <v>403</v>
      </c>
      <c r="C553" s="16" t="s">
        <v>619</v>
      </c>
      <c r="D553" s="15" t="s">
        <v>398</v>
      </c>
      <c r="E553" s="16" t="s">
        <v>641</v>
      </c>
      <c r="F553" s="15" t="n">
        <v>1</v>
      </c>
      <c r="G553" s="16" t="s">
        <v>17</v>
      </c>
      <c r="H553" s="15" t="s">
        <v>621</v>
      </c>
      <c r="I553" s="16" t="s">
        <v>1750</v>
      </c>
      <c r="J553" s="16" t="s">
        <v>1751</v>
      </c>
    </row>
    <row r="554" customFormat="false" ht="35.05" hidden="false" customHeight="false" outlineLevel="0" collapsed="false">
      <c r="A554" s="15" t="s">
        <v>384</v>
      </c>
      <c r="B554" s="16" t="s">
        <v>403</v>
      </c>
      <c r="C554" s="16" t="s">
        <v>619</v>
      </c>
      <c r="D554" s="15" t="s">
        <v>388</v>
      </c>
      <c r="E554" s="16" t="s">
        <v>1701</v>
      </c>
      <c r="F554" s="15" t="n">
        <v>2</v>
      </c>
      <c r="G554" s="16" t="s">
        <v>17</v>
      </c>
      <c r="H554" s="15" t="s">
        <v>627</v>
      </c>
      <c r="I554" s="16" t="s">
        <v>1752</v>
      </c>
      <c r="J554" s="16" t="s">
        <v>1753</v>
      </c>
    </row>
    <row r="555" customFormat="false" ht="35.05" hidden="false" customHeight="false" outlineLevel="0" collapsed="false">
      <c r="A555" s="15" t="s">
        <v>384</v>
      </c>
      <c r="B555" s="16" t="s">
        <v>403</v>
      </c>
      <c r="C555" s="16" t="s">
        <v>619</v>
      </c>
      <c r="D555" s="15" t="s">
        <v>402</v>
      </c>
      <c r="E555" s="16" t="s">
        <v>738</v>
      </c>
      <c r="F555" s="15" t="n">
        <v>15</v>
      </c>
      <c r="G555" s="16" t="s">
        <v>17</v>
      </c>
      <c r="H555" s="15" t="s">
        <v>654</v>
      </c>
      <c r="I555" s="16" t="s">
        <v>1752</v>
      </c>
      <c r="J555" s="16" t="s">
        <v>1754</v>
      </c>
    </row>
    <row r="556" customFormat="false" ht="35.05" hidden="false" customHeight="false" outlineLevel="0" collapsed="false">
      <c r="A556" s="15" t="s">
        <v>384</v>
      </c>
      <c r="B556" s="16" t="s">
        <v>403</v>
      </c>
      <c r="C556" s="16" t="s">
        <v>619</v>
      </c>
      <c r="D556" s="15" t="s">
        <v>390</v>
      </c>
      <c r="E556" s="16" t="s">
        <v>740</v>
      </c>
      <c r="F556" s="15" t="n">
        <v>21</v>
      </c>
      <c r="G556" s="16" t="s">
        <v>17</v>
      </c>
      <c r="H556" s="15" t="s">
        <v>654</v>
      </c>
      <c r="I556" s="16" t="s">
        <v>1750</v>
      </c>
      <c r="J556" s="16" t="s">
        <v>1755</v>
      </c>
    </row>
    <row r="557" customFormat="false" ht="35.05" hidden="false" customHeight="false" outlineLevel="0" collapsed="false">
      <c r="A557" s="15" t="s">
        <v>384</v>
      </c>
      <c r="B557" s="16" t="s">
        <v>403</v>
      </c>
      <c r="C557" s="16" t="s">
        <v>619</v>
      </c>
      <c r="D557" s="15" t="s">
        <v>420</v>
      </c>
      <c r="E557" s="16" t="s">
        <v>772</v>
      </c>
      <c r="F557" s="15" t="n">
        <v>1</v>
      </c>
      <c r="G557" s="16" t="s">
        <v>17</v>
      </c>
      <c r="H557" s="15" t="s">
        <v>621</v>
      </c>
      <c r="I557" s="16" t="s">
        <v>1750</v>
      </c>
      <c r="J557" s="16" t="s">
        <v>1756</v>
      </c>
    </row>
    <row r="558" customFormat="false" ht="35.05" hidden="false" customHeight="false" outlineLevel="0" collapsed="false">
      <c r="A558" s="15" t="s">
        <v>384</v>
      </c>
      <c r="B558" s="16" t="s">
        <v>403</v>
      </c>
      <c r="C558" s="16" t="s">
        <v>619</v>
      </c>
      <c r="D558" s="15" t="s">
        <v>109</v>
      </c>
      <c r="E558" s="16" t="s">
        <v>742</v>
      </c>
      <c r="F558" s="15" t="n">
        <v>1</v>
      </c>
      <c r="G558" s="16" t="s">
        <v>17</v>
      </c>
      <c r="H558" s="15" t="s">
        <v>621</v>
      </c>
      <c r="I558" s="16" t="s">
        <v>1757</v>
      </c>
      <c r="J558" s="16" t="s">
        <v>1758</v>
      </c>
    </row>
    <row r="559" customFormat="false" ht="35.05" hidden="false" customHeight="false" outlineLevel="0" collapsed="false">
      <c r="A559" s="15" t="s">
        <v>384</v>
      </c>
      <c r="B559" s="16" t="s">
        <v>403</v>
      </c>
      <c r="C559" s="16" t="s">
        <v>619</v>
      </c>
      <c r="D559" s="15" t="s">
        <v>451</v>
      </c>
      <c r="E559" s="16" t="s">
        <v>672</v>
      </c>
      <c r="F559" s="15" t="n">
        <v>2</v>
      </c>
      <c r="G559" s="16" t="s">
        <v>17</v>
      </c>
      <c r="H559" s="15" t="s">
        <v>627</v>
      </c>
      <c r="I559" s="16" t="s">
        <v>1752</v>
      </c>
      <c r="J559" s="16" t="s">
        <v>1759</v>
      </c>
    </row>
    <row r="560" customFormat="false" ht="35.05" hidden="false" customHeight="false" outlineLevel="0" collapsed="false">
      <c r="A560" s="15" t="s">
        <v>384</v>
      </c>
      <c r="B560" s="16" t="s">
        <v>403</v>
      </c>
      <c r="C560" s="16" t="s">
        <v>619</v>
      </c>
      <c r="D560" s="15" t="s">
        <v>473</v>
      </c>
      <c r="E560" s="16" t="s">
        <v>775</v>
      </c>
      <c r="F560" s="15" t="n">
        <v>2</v>
      </c>
      <c r="G560" s="16" t="s">
        <v>17</v>
      </c>
      <c r="H560" s="15" t="s">
        <v>627</v>
      </c>
      <c r="I560" s="16" t="s">
        <v>1757</v>
      </c>
      <c r="J560" s="16" t="s">
        <v>1760</v>
      </c>
    </row>
    <row r="561" customFormat="false" ht="35.05" hidden="false" customHeight="false" outlineLevel="0" collapsed="false">
      <c r="A561" s="15" t="s">
        <v>384</v>
      </c>
      <c r="B561" s="16" t="s">
        <v>403</v>
      </c>
      <c r="C561" s="16" t="s">
        <v>1761</v>
      </c>
      <c r="D561" s="15" t="s">
        <v>390</v>
      </c>
      <c r="E561" s="16" t="s">
        <v>740</v>
      </c>
      <c r="F561" s="15" t="n">
        <v>10</v>
      </c>
      <c r="G561" s="16" t="s">
        <v>17</v>
      </c>
      <c r="H561" s="15" t="s">
        <v>654</v>
      </c>
      <c r="I561" s="16" t="s">
        <v>1762</v>
      </c>
      <c r="J561" s="16" t="s">
        <v>1763</v>
      </c>
    </row>
    <row r="562" customFormat="false" ht="35.05" hidden="false" customHeight="false" outlineLevel="0" collapsed="false">
      <c r="A562" s="15" t="s">
        <v>384</v>
      </c>
      <c r="B562" s="16" t="s">
        <v>403</v>
      </c>
      <c r="C562" s="16" t="s">
        <v>1764</v>
      </c>
      <c r="D562" s="15" t="s">
        <v>390</v>
      </c>
      <c r="E562" s="16" t="s">
        <v>740</v>
      </c>
      <c r="F562" s="15" t="n">
        <v>2</v>
      </c>
      <c r="G562" s="16" t="s">
        <v>17</v>
      </c>
      <c r="H562" s="15" t="s">
        <v>627</v>
      </c>
      <c r="I562" s="16" t="s">
        <v>1765</v>
      </c>
      <c r="J562" s="16" t="s">
        <v>1766</v>
      </c>
    </row>
    <row r="563" customFormat="false" ht="35.05" hidden="false" customHeight="false" outlineLevel="0" collapsed="false">
      <c r="A563" s="15" t="s">
        <v>384</v>
      </c>
      <c r="B563" s="16" t="s">
        <v>403</v>
      </c>
      <c r="C563" s="16" t="s">
        <v>1767</v>
      </c>
      <c r="D563" s="15" t="s">
        <v>402</v>
      </c>
      <c r="E563" s="16" t="s">
        <v>738</v>
      </c>
      <c r="F563" s="15" t="n">
        <v>2</v>
      </c>
      <c r="G563" s="16" t="s">
        <v>17</v>
      </c>
      <c r="H563" s="15" t="s">
        <v>627</v>
      </c>
      <c r="I563" s="16" t="s">
        <v>1768</v>
      </c>
      <c r="J563" s="16" t="s">
        <v>1769</v>
      </c>
    </row>
    <row r="564" customFormat="false" ht="35.05" hidden="false" customHeight="false" outlineLevel="0" collapsed="false">
      <c r="A564" s="15" t="s">
        <v>384</v>
      </c>
      <c r="B564" s="16" t="s">
        <v>403</v>
      </c>
      <c r="C564" s="16" t="s">
        <v>1767</v>
      </c>
      <c r="D564" s="15" t="s">
        <v>390</v>
      </c>
      <c r="E564" s="16" t="s">
        <v>740</v>
      </c>
      <c r="F564" s="15" t="n">
        <v>25</v>
      </c>
      <c r="G564" s="16" t="s">
        <v>17</v>
      </c>
      <c r="H564" s="15" t="s">
        <v>654</v>
      </c>
      <c r="I564" s="16" t="s">
        <v>1768</v>
      </c>
      <c r="J564" s="16" t="s">
        <v>1770</v>
      </c>
    </row>
    <row r="565" customFormat="false" ht="35.05" hidden="false" customHeight="false" outlineLevel="0" collapsed="false">
      <c r="A565" s="15" t="s">
        <v>384</v>
      </c>
      <c r="B565" s="16" t="s">
        <v>403</v>
      </c>
      <c r="C565" s="16" t="s">
        <v>1767</v>
      </c>
      <c r="D565" s="15" t="s">
        <v>408</v>
      </c>
      <c r="E565" s="16" t="s">
        <v>904</v>
      </c>
      <c r="F565" s="15" t="n">
        <v>1</v>
      </c>
      <c r="G565" s="16" t="s">
        <v>17</v>
      </c>
      <c r="H565" s="15" t="s">
        <v>621</v>
      </c>
      <c r="I565" s="16" t="s">
        <v>1771</v>
      </c>
      <c r="J565" s="16" t="s">
        <v>1772</v>
      </c>
    </row>
    <row r="566" customFormat="false" ht="35.05" hidden="false" customHeight="false" outlineLevel="0" collapsed="false">
      <c r="A566" s="15" t="s">
        <v>384</v>
      </c>
      <c r="B566" s="16" t="s">
        <v>403</v>
      </c>
      <c r="C566" s="16" t="s">
        <v>1767</v>
      </c>
      <c r="D566" s="15" t="s">
        <v>109</v>
      </c>
      <c r="E566" s="16" t="s">
        <v>742</v>
      </c>
      <c r="F566" s="15" t="n">
        <v>1</v>
      </c>
      <c r="G566" s="16" t="s">
        <v>17</v>
      </c>
      <c r="H566" s="15" t="s">
        <v>621</v>
      </c>
      <c r="I566" s="16" t="s">
        <v>1771</v>
      </c>
      <c r="J566" s="16" t="s">
        <v>1773</v>
      </c>
    </row>
    <row r="567" customFormat="false" ht="35.05" hidden="false" customHeight="false" outlineLevel="0" collapsed="false">
      <c r="A567" s="15" t="s">
        <v>384</v>
      </c>
      <c r="B567" s="16" t="s">
        <v>409</v>
      </c>
      <c r="C567" s="16" t="s">
        <v>619</v>
      </c>
      <c r="D567" s="15" t="s">
        <v>398</v>
      </c>
      <c r="E567" s="16" t="s">
        <v>641</v>
      </c>
      <c r="F567" s="15" t="n">
        <v>1</v>
      </c>
      <c r="G567" s="16" t="s">
        <v>17</v>
      </c>
      <c r="H567" s="15" t="s">
        <v>621</v>
      </c>
      <c r="I567" s="16" t="s">
        <v>1774</v>
      </c>
      <c r="J567" s="16" t="s">
        <v>1775</v>
      </c>
    </row>
    <row r="568" customFormat="false" ht="35.05" hidden="false" customHeight="false" outlineLevel="0" collapsed="false">
      <c r="A568" s="15" t="s">
        <v>384</v>
      </c>
      <c r="B568" s="16" t="s">
        <v>409</v>
      </c>
      <c r="C568" s="16" t="s">
        <v>619</v>
      </c>
      <c r="D568" s="15" t="s">
        <v>402</v>
      </c>
      <c r="E568" s="16" t="s">
        <v>738</v>
      </c>
      <c r="F568" s="15" t="n">
        <v>5</v>
      </c>
      <c r="G568" s="16" t="s">
        <v>1776</v>
      </c>
      <c r="H568" s="15" t="s">
        <v>654</v>
      </c>
      <c r="I568" s="16" t="s">
        <v>1777</v>
      </c>
      <c r="J568" s="16" t="s">
        <v>1778</v>
      </c>
    </row>
    <row r="569" customFormat="false" ht="35.05" hidden="false" customHeight="false" outlineLevel="0" collapsed="false">
      <c r="A569" s="15" t="s">
        <v>384</v>
      </c>
      <c r="B569" s="16" t="s">
        <v>409</v>
      </c>
      <c r="C569" s="16" t="s">
        <v>619</v>
      </c>
      <c r="D569" s="15" t="s">
        <v>390</v>
      </c>
      <c r="E569" s="16" t="s">
        <v>740</v>
      </c>
      <c r="F569" s="15" t="n">
        <v>1</v>
      </c>
      <c r="G569" s="16" t="s">
        <v>17</v>
      </c>
      <c r="H569" s="15" t="s">
        <v>621</v>
      </c>
      <c r="I569" s="16" t="s">
        <v>1779</v>
      </c>
      <c r="J569" s="16" t="s">
        <v>1780</v>
      </c>
    </row>
    <row r="570" customFormat="false" ht="35.05" hidden="false" customHeight="false" outlineLevel="0" collapsed="false">
      <c r="A570" s="15" t="s">
        <v>384</v>
      </c>
      <c r="B570" s="16" t="s">
        <v>409</v>
      </c>
      <c r="C570" s="16" t="s">
        <v>619</v>
      </c>
      <c r="D570" s="15" t="s">
        <v>109</v>
      </c>
      <c r="E570" s="16" t="s">
        <v>742</v>
      </c>
      <c r="F570" s="15" t="n">
        <v>19</v>
      </c>
      <c r="G570" s="16" t="s">
        <v>1781</v>
      </c>
      <c r="H570" s="15" t="s">
        <v>654</v>
      </c>
      <c r="I570" s="16" t="s">
        <v>1782</v>
      </c>
      <c r="J570" s="16" t="s">
        <v>1783</v>
      </c>
    </row>
    <row r="571" customFormat="false" ht="35.05" hidden="false" customHeight="false" outlineLevel="0" collapsed="false">
      <c r="A571" s="15" t="s">
        <v>384</v>
      </c>
      <c r="B571" s="16" t="s">
        <v>409</v>
      </c>
      <c r="C571" s="16" t="s">
        <v>619</v>
      </c>
      <c r="D571" s="15" t="s">
        <v>584</v>
      </c>
      <c r="E571" s="16" t="s">
        <v>1131</v>
      </c>
      <c r="F571" s="15" t="n">
        <v>1</v>
      </c>
      <c r="G571" s="16" t="s">
        <v>17</v>
      </c>
      <c r="H571" s="15" t="s">
        <v>621</v>
      </c>
      <c r="I571" s="16" t="s">
        <v>1784</v>
      </c>
      <c r="J571" s="16" t="s">
        <v>1785</v>
      </c>
    </row>
    <row r="572" customFormat="false" ht="35.05" hidden="false" customHeight="false" outlineLevel="0" collapsed="false">
      <c r="A572" s="15" t="s">
        <v>384</v>
      </c>
      <c r="B572" s="16" t="s">
        <v>409</v>
      </c>
      <c r="C572" s="16" t="s">
        <v>619</v>
      </c>
      <c r="D572" s="15" t="s">
        <v>473</v>
      </c>
      <c r="E572" s="16" t="s">
        <v>775</v>
      </c>
      <c r="F572" s="15" t="n">
        <v>4</v>
      </c>
      <c r="G572" s="16" t="s">
        <v>17</v>
      </c>
      <c r="H572" s="15" t="s">
        <v>627</v>
      </c>
      <c r="I572" s="16" t="s">
        <v>1786</v>
      </c>
      <c r="J572" s="16" t="s">
        <v>1787</v>
      </c>
    </row>
    <row r="573" customFormat="false" ht="35.05" hidden="false" customHeight="false" outlineLevel="0" collapsed="false">
      <c r="A573" s="15" t="s">
        <v>384</v>
      </c>
      <c r="B573" s="16" t="s">
        <v>409</v>
      </c>
      <c r="C573" s="16" t="s">
        <v>619</v>
      </c>
      <c r="D573" s="15" t="s">
        <v>585</v>
      </c>
      <c r="E573" s="16" t="s">
        <v>907</v>
      </c>
      <c r="F573" s="15" t="n">
        <v>2</v>
      </c>
      <c r="G573" s="16" t="s">
        <v>17</v>
      </c>
      <c r="H573" s="15" t="s">
        <v>627</v>
      </c>
      <c r="I573" s="16" t="s">
        <v>1788</v>
      </c>
      <c r="J573" s="16" t="s">
        <v>1789</v>
      </c>
    </row>
    <row r="574" customFormat="false" ht="35.05" hidden="false" customHeight="false" outlineLevel="0" collapsed="false">
      <c r="A574" s="15" t="s">
        <v>384</v>
      </c>
      <c r="B574" s="16" t="s">
        <v>409</v>
      </c>
      <c r="C574" s="16" t="s">
        <v>413</v>
      </c>
      <c r="D574" s="15" t="s">
        <v>109</v>
      </c>
      <c r="E574" s="16" t="s">
        <v>742</v>
      </c>
      <c r="F574" s="15" t="n">
        <v>3</v>
      </c>
      <c r="G574" s="16" t="s">
        <v>17</v>
      </c>
      <c r="H574" s="15" t="s">
        <v>627</v>
      </c>
      <c r="I574" s="16" t="s">
        <v>1790</v>
      </c>
      <c r="J574" s="16" t="s">
        <v>1791</v>
      </c>
    </row>
    <row r="575" customFormat="false" ht="35.05" hidden="false" customHeight="false" outlineLevel="0" collapsed="false">
      <c r="A575" s="15" t="s">
        <v>384</v>
      </c>
      <c r="B575" s="16" t="s">
        <v>409</v>
      </c>
      <c r="C575" s="16" t="s">
        <v>413</v>
      </c>
      <c r="D575" s="15" t="s">
        <v>473</v>
      </c>
      <c r="E575" s="16" t="s">
        <v>775</v>
      </c>
      <c r="F575" s="15" t="n">
        <v>1</v>
      </c>
      <c r="G575" s="16" t="s">
        <v>17</v>
      </c>
      <c r="H575" s="15" t="s">
        <v>621</v>
      </c>
      <c r="I575" s="16" t="s">
        <v>1792</v>
      </c>
      <c r="J575" s="16" t="s">
        <v>1793</v>
      </c>
    </row>
    <row r="576" customFormat="false" ht="35.05" hidden="false" customHeight="false" outlineLevel="0" collapsed="false">
      <c r="A576" s="15" t="s">
        <v>384</v>
      </c>
      <c r="B576" s="16" t="s">
        <v>414</v>
      </c>
      <c r="C576" s="16" t="s">
        <v>417</v>
      </c>
      <c r="D576" s="15" t="s">
        <v>416</v>
      </c>
      <c r="E576" s="16" t="s">
        <v>1430</v>
      </c>
      <c r="F576" s="15" t="n">
        <v>1</v>
      </c>
      <c r="G576" s="16" t="s">
        <v>17</v>
      </c>
      <c r="H576" s="15" t="s">
        <v>621</v>
      </c>
      <c r="I576" s="16" t="s">
        <v>1794</v>
      </c>
      <c r="J576" s="16" t="s">
        <v>1795</v>
      </c>
    </row>
    <row r="577" customFormat="false" ht="35.05" hidden="false" customHeight="false" outlineLevel="0" collapsed="false">
      <c r="A577" s="15" t="s">
        <v>384</v>
      </c>
      <c r="B577" s="16" t="s">
        <v>418</v>
      </c>
      <c r="C577" s="16" t="s">
        <v>619</v>
      </c>
      <c r="D577" s="15" t="s">
        <v>420</v>
      </c>
      <c r="E577" s="16" t="s">
        <v>772</v>
      </c>
      <c r="F577" s="15" t="n">
        <v>3</v>
      </c>
      <c r="G577" s="16" t="s">
        <v>17</v>
      </c>
      <c r="H577" s="15" t="s">
        <v>627</v>
      </c>
      <c r="I577" s="16" t="s">
        <v>1796</v>
      </c>
      <c r="J577" s="16" t="s">
        <v>1797</v>
      </c>
    </row>
    <row r="578" customFormat="false" ht="35.05" hidden="false" customHeight="false" outlineLevel="0" collapsed="false">
      <c r="A578" s="15" t="s">
        <v>384</v>
      </c>
      <c r="B578" s="16" t="s">
        <v>421</v>
      </c>
      <c r="C578" s="16" t="s">
        <v>619</v>
      </c>
      <c r="D578" s="15" t="s">
        <v>109</v>
      </c>
      <c r="E578" s="16" t="s">
        <v>742</v>
      </c>
      <c r="F578" s="15" t="n">
        <v>3</v>
      </c>
      <c r="G578" s="16" t="s">
        <v>17</v>
      </c>
      <c r="H578" s="15" t="s">
        <v>627</v>
      </c>
      <c r="I578" s="16" t="s">
        <v>1798</v>
      </c>
      <c r="J578" s="16" t="s">
        <v>1799</v>
      </c>
    </row>
    <row r="579" customFormat="false" ht="35.05" hidden="false" customHeight="false" outlineLevel="0" collapsed="false">
      <c r="A579" s="15" t="s">
        <v>384</v>
      </c>
      <c r="B579" s="16" t="s">
        <v>421</v>
      </c>
      <c r="C579" s="16" t="s">
        <v>619</v>
      </c>
      <c r="D579" s="15" t="s">
        <v>473</v>
      </c>
      <c r="E579" s="16" t="s">
        <v>775</v>
      </c>
      <c r="F579" s="15" t="n">
        <v>3</v>
      </c>
      <c r="G579" s="16" t="s">
        <v>17</v>
      </c>
      <c r="H579" s="15" t="s">
        <v>627</v>
      </c>
      <c r="I579" s="16" t="s">
        <v>1800</v>
      </c>
      <c r="J579" s="16" t="s">
        <v>1801</v>
      </c>
    </row>
    <row r="580" customFormat="false" ht="35.05" hidden="false" customHeight="false" outlineLevel="0" collapsed="false">
      <c r="A580" s="15" t="s">
        <v>384</v>
      </c>
      <c r="B580" s="16" t="s">
        <v>421</v>
      </c>
      <c r="C580" s="16" t="s">
        <v>619</v>
      </c>
      <c r="D580" s="15" t="s">
        <v>469</v>
      </c>
      <c r="E580" s="16" t="s">
        <v>1183</v>
      </c>
      <c r="F580" s="15" t="n">
        <v>1</v>
      </c>
      <c r="G580" s="16" t="s">
        <v>17</v>
      </c>
      <c r="H580" s="15" t="s">
        <v>621</v>
      </c>
      <c r="I580" s="16" t="s">
        <v>1800</v>
      </c>
      <c r="J580" s="16" t="s">
        <v>1802</v>
      </c>
    </row>
    <row r="581" customFormat="false" ht="46.25" hidden="false" customHeight="false" outlineLevel="0" collapsed="false">
      <c r="A581" s="15" t="s">
        <v>384</v>
      </c>
      <c r="B581" s="16" t="s">
        <v>424</v>
      </c>
      <c r="C581" s="16" t="s">
        <v>619</v>
      </c>
      <c r="D581" s="15" t="s">
        <v>567</v>
      </c>
      <c r="E581" s="16" t="s">
        <v>707</v>
      </c>
      <c r="F581" s="15" t="n">
        <v>1</v>
      </c>
      <c r="G581" s="16" t="s">
        <v>17</v>
      </c>
      <c r="H581" s="15" t="s">
        <v>621</v>
      </c>
      <c r="I581" s="16" t="s">
        <v>1803</v>
      </c>
      <c r="J581" s="16" t="s">
        <v>1804</v>
      </c>
    </row>
    <row r="582" customFormat="false" ht="35.05" hidden="false" customHeight="false" outlineLevel="0" collapsed="false">
      <c r="A582" s="15" t="s">
        <v>384</v>
      </c>
      <c r="B582" s="16" t="s">
        <v>424</v>
      </c>
      <c r="C582" s="16" t="s">
        <v>619</v>
      </c>
      <c r="D582" s="15" t="s">
        <v>390</v>
      </c>
      <c r="E582" s="16" t="s">
        <v>740</v>
      </c>
      <c r="F582" s="15" t="n">
        <v>2</v>
      </c>
      <c r="G582" s="16" t="s">
        <v>17</v>
      </c>
      <c r="H582" s="15" t="s">
        <v>627</v>
      </c>
      <c r="I582" s="16" t="s">
        <v>1805</v>
      </c>
      <c r="J582" s="16" t="s">
        <v>1806</v>
      </c>
    </row>
    <row r="583" customFormat="false" ht="35.05" hidden="false" customHeight="false" outlineLevel="0" collapsed="false">
      <c r="A583" s="15" t="s">
        <v>384</v>
      </c>
      <c r="B583" s="16" t="s">
        <v>424</v>
      </c>
      <c r="C583" s="16" t="s">
        <v>619</v>
      </c>
      <c r="D583" s="15" t="s">
        <v>109</v>
      </c>
      <c r="E583" s="16" t="s">
        <v>742</v>
      </c>
      <c r="F583" s="15" t="n">
        <v>1</v>
      </c>
      <c r="G583" s="16" t="s">
        <v>17</v>
      </c>
      <c r="H583" s="15" t="s">
        <v>621</v>
      </c>
      <c r="I583" s="16" t="s">
        <v>1807</v>
      </c>
      <c r="J583" s="16" t="s">
        <v>1808</v>
      </c>
    </row>
    <row r="584" customFormat="false" ht="35.05" hidden="false" customHeight="false" outlineLevel="0" collapsed="false">
      <c r="A584" s="15" t="s">
        <v>384</v>
      </c>
      <c r="B584" s="16" t="s">
        <v>424</v>
      </c>
      <c r="C584" s="16" t="s">
        <v>619</v>
      </c>
      <c r="D584" s="15" t="s">
        <v>585</v>
      </c>
      <c r="E584" s="16" t="s">
        <v>907</v>
      </c>
      <c r="F584" s="15" t="n">
        <v>1</v>
      </c>
      <c r="G584" s="16" t="s">
        <v>17</v>
      </c>
      <c r="H584" s="15" t="s">
        <v>621</v>
      </c>
      <c r="I584" s="16" t="s">
        <v>1807</v>
      </c>
      <c r="J584" s="16" t="s">
        <v>1809</v>
      </c>
    </row>
    <row r="585" customFormat="false" ht="35.05" hidden="false" customHeight="false" outlineLevel="0" collapsed="false">
      <c r="A585" s="15" t="s">
        <v>384</v>
      </c>
      <c r="B585" s="16" t="s">
        <v>424</v>
      </c>
      <c r="C585" s="16" t="s">
        <v>619</v>
      </c>
      <c r="D585" s="15" t="s">
        <v>592</v>
      </c>
      <c r="E585" s="16" t="s">
        <v>1189</v>
      </c>
      <c r="F585" s="15" t="n">
        <v>3</v>
      </c>
      <c r="G585" s="16" t="s">
        <v>17</v>
      </c>
      <c r="H585" s="15" t="s">
        <v>627</v>
      </c>
      <c r="I585" s="16" t="s">
        <v>1810</v>
      </c>
      <c r="J585" s="16" t="s">
        <v>1811</v>
      </c>
    </row>
    <row r="586" customFormat="false" ht="35.05" hidden="false" customHeight="false" outlineLevel="0" collapsed="false">
      <c r="A586" s="15" t="s">
        <v>384</v>
      </c>
      <c r="B586" s="16" t="s">
        <v>424</v>
      </c>
      <c r="C586" s="16" t="s">
        <v>619</v>
      </c>
      <c r="D586" s="15" t="s">
        <v>594</v>
      </c>
      <c r="E586" s="16" t="s">
        <v>941</v>
      </c>
      <c r="F586" s="15" t="n">
        <v>3</v>
      </c>
      <c r="G586" s="16" t="s">
        <v>17</v>
      </c>
      <c r="H586" s="15" t="s">
        <v>627</v>
      </c>
      <c r="I586" s="16" t="s">
        <v>1805</v>
      </c>
      <c r="J586" s="16" t="s">
        <v>1812</v>
      </c>
    </row>
    <row r="587" customFormat="false" ht="35.05" hidden="false" customHeight="false" outlineLevel="0" collapsed="false">
      <c r="A587" s="15" t="s">
        <v>384</v>
      </c>
      <c r="B587" s="16" t="s">
        <v>424</v>
      </c>
      <c r="C587" s="16" t="s">
        <v>427</v>
      </c>
      <c r="D587" s="15" t="s">
        <v>592</v>
      </c>
      <c r="E587" s="16" t="s">
        <v>1189</v>
      </c>
      <c r="F587" s="15" t="n">
        <v>1</v>
      </c>
      <c r="G587" s="16" t="s">
        <v>17</v>
      </c>
      <c r="H587" s="15" t="s">
        <v>621</v>
      </c>
      <c r="I587" s="16" t="s">
        <v>1813</v>
      </c>
      <c r="J587" s="16" t="s">
        <v>1814</v>
      </c>
    </row>
    <row r="588" customFormat="false" ht="35.05" hidden="false" customHeight="false" outlineLevel="0" collapsed="false">
      <c r="A588" s="15" t="s">
        <v>384</v>
      </c>
      <c r="B588" s="16" t="s">
        <v>428</v>
      </c>
      <c r="C588" s="16" t="s">
        <v>619</v>
      </c>
      <c r="D588" s="15" t="s">
        <v>585</v>
      </c>
      <c r="E588" s="16" t="s">
        <v>907</v>
      </c>
      <c r="F588" s="15" t="n">
        <v>1</v>
      </c>
      <c r="G588" s="16" t="s">
        <v>17</v>
      </c>
      <c r="H588" s="15" t="s">
        <v>621</v>
      </c>
      <c r="I588" s="16" t="s">
        <v>1815</v>
      </c>
      <c r="J588" s="16" t="s">
        <v>1816</v>
      </c>
    </row>
    <row r="589" customFormat="false" ht="35.05" hidden="false" customHeight="false" outlineLevel="0" collapsed="false">
      <c r="A589" s="15" t="s">
        <v>384</v>
      </c>
      <c r="B589" s="16" t="s">
        <v>428</v>
      </c>
      <c r="C589" s="16" t="s">
        <v>619</v>
      </c>
      <c r="D589" s="15" t="s">
        <v>594</v>
      </c>
      <c r="E589" s="16" t="s">
        <v>941</v>
      </c>
      <c r="F589" s="15" t="n">
        <v>1</v>
      </c>
      <c r="G589" s="16" t="s">
        <v>17</v>
      </c>
      <c r="H589" s="15" t="s">
        <v>621</v>
      </c>
      <c r="I589" s="16" t="s">
        <v>1817</v>
      </c>
      <c r="J589" s="16" t="s">
        <v>1818</v>
      </c>
    </row>
    <row r="590" customFormat="false" ht="35.05" hidden="false" customHeight="false" outlineLevel="0" collapsed="false">
      <c r="A590" s="15" t="s">
        <v>384</v>
      </c>
      <c r="B590" s="16" t="s">
        <v>431</v>
      </c>
      <c r="C590" s="16" t="s">
        <v>619</v>
      </c>
      <c r="D590" s="15" t="s">
        <v>76</v>
      </c>
      <c r="E590" s="16" t="s">
        <v>660</v>
      </c>
      <c r="F590" s="15" t="n">
        <v>4</v>
      </c>
      <c r="G590" s="16" t="s">
        <v>17</v>
      </c>
      <c r="H590" s="15" t="s">
        <v>627</v>
      </c>
      <c r="I590" s="16" t="s">
        <v>1819</v>
      </c>
      <c r="J590" s="16" t="s">
        <v>1820</v>
      </c>
    </row>
    <row r="591" customFormat="false" ht="46.25" hidden="false" customHeight="false" outlineLevel="0" collapsed="false">
      <c r="A591" s="15" t="s">
        <v>433</v>
      </c>
      <c r="B591" s="16" t="s">
        <v>434</v>
      </c>
      <c r="C591" s="16" t="s">
        <v>619</v>
      </c>
      <c r="D591" s="15" t="s">
        <v>398</v>
      </c>
      <c r="E591" s="16" t="s">
        <v>641</v>
      </c>
      <c r="F591" s="15" t="n">
        <v>2</v>
      </c>
      <c r="G591" s="16" t="s">
        <v>17</v>
      </c>
      <c r="H591" s="15" t="s">
        <v>627</v>
      </c>
      <c r="I591" s="16" t="s">
        <v>1821</v>
      </c>
      <c r="J591" s="16" t="s">
        <v>1822</v>
      </c>
    </row>
    <row r="592" customFormat="false" ht="35.05" hidden="false" customHeight="false" outlineLevel="0" collapsed="false">
      <c r="A592" s="15" t="s">
        <v>433</v>
      </c>
      <c r="B592" s="16" t="s">
        <v>434</v>
      </c>
      <c r="C592" s="16" t="s">
        <v>619</v>
      </c>
      <c r="D592" s="15" t="s">
        <v>20</v>
      </c>
      <c r="E592" s="16" t="s">
        <v>620</v>
      </c>
      <c r="F592" s="15" t="n">
        <v>1</v>
      </c>
      <c r="G592" s="16" t="s">
        <v>17</v>
      </c>
      <c r="H592" s="15" t="s">
        <v>621</v>
      </c>
      <c r="I592" s="16" t="s">
        <v>1823</v>
      </c>
      <c r="J592" s="16" t="s">
        <v>1824</v>
      </c>
    </row>
    <row r="593" customFormat="false" ht="35.05" hidden="false" customHeight="false" outlineLevel="0" collapsed="false">
      <c r="A593" s="15" t="s">
        <v>433</v>
      </c>
      <c r="B593" s="16" t="s">
        <v>434</v>
      </c>
      <c r="C593" s="16" t="s">
        <v>619</v>
      </c>
      <c r="D593" s="15" t="s">
        <v>235</v>
      </c>
      <c r="E593" s="16" t="s">
        <v>1204</v>
      </c>
      <c r="F593" s="15" t="n">
        <v>2</v>
      </c>
      <c r="G593" s="16" t="s">
        <v>17</v>
      </c>
      <c r="H593" s="15" t="s">
        <v>627</v>
      </c>
      <c r="I593" s="16" t="s">
        <v>1825</v>
      </c>
      <c r="J593" s="16" t="s">
        <v>1826</v>
      </c>
    </row>
    <row r="594" customFormat="false" ht="35.05" hidden="false" customHeight="false" outlineLevel="0" collapsed="false">
      <c r="A594" s="15" t="s">
        <v>433</v>
      </c>
      <c r="B594" s="16" t="s">
        <v>437</v>
      </c>
      <c r="C594" s="16" t="s">
        <v>619</v>
      </c>
      <c r="D594" s="15" t="s">
        <v>20</v>
      </c>
      <c r="E594" s="16" t="s">
        <v>620</v>
      </c>
      <c r="F594" s="15" t="n">
        <v>2</v>
      </c>
      <c r="G594" s="16" t="s">
        <v>17</v>
      </c>
      <c r="H594" s="15" t="s">
        <v>627</v>
      </c>
      <c r="I594" s="16" t="s">
        <v>1827</v>
      </c>
      <c r="J594" s="16" t="s">
        <v>1828</v>
      </c>
    </row>
    <row r="595" customFormat="false" ht="35.05" hidden="false" customHeight="false" outlineLevel="0" collapsed="false">
      <c r="A595" s="15" t="s">
        <v>433</v>
      </c>
      <c r="B595" s="16" t="s">
        <v>437</v>
      </c>
      <c r="C595" s="16" t="s">
        <v>619</v>
      </c>
      <c r="D595" s="15" t="s">
        <v>562</v>
      </c>
      <c r="E595" s="16" t="s">
        <v>716</v>
      </c>
      <c r="F595" s="15" t="n">
        <v>1</v>
      </c>
      <c r="G595" s="16" t="s">
        <v>17</v>
      </c>
      <c r="H595" s="15" t="s">
        <v>621</v>
      </c>
      <c r="I595" s="16" t="s">
        <v>1827</v>
      </c>
      <c r="J595" s="16" t="s">
        <v>1829</v>
      </c>
    </row>
    <row r="596" customFormat="false" ht="46.25" hidden="false" customHeight="false" outlineLevel="0" collapsed="false">
      <c r="A596" s="15" t="s">
        <v>433</v>
      </c>
      <c r="B596" s="16" t="s">
        <v>437</v>
      </c>
      <c r="C596" s="16" t="s">
        <v>619</v>
      </c>
      <c r="D596" s="15" t="s">
        <v>235</v>
      </c>
      <c r="E596" s="16" t="s">
        <v>1204</v>
      </c>
      <c r="F596" s="15" t="n">
        <v>7</v>
      </c>
      <c r="G596" s="16" t="s">
        <v>1830</v>
      </c>
      <c r="H596" s="15" t="s">
        <v>654</v>
      </c>
      <c r="I596" s="16" t="s">
        <v>1831</v>
      </c>
      <c r="J596" s="16" t="s">
        <v>1832</v>
      </c>
    </row>
    <row r="597" customFormat="false" ht="35.05" hidden="false" customHeight="false" outlineLevel="0" collapsed="false">
      <c r="A597" s="15" t="s">
        <v>433</v>
      </c>
      <c r="B597" s="16" t="s">
        <v>440</v>
      </c>
      <c r="C597" s="16" t="s">
        <v>619</v>
      </c>
      <c r="D597" s="15" t="s">
        <v>442</v>
      </c>
      <c r="E597" s="16" t="s">
        <v>1833</v>
      </c>
      <c r="F597" s="15" t="n">
        <v>1</v>
      </c>
      <c r="G597" s="16" t="s">
        <v>17</v>
      </c>
      <c r="H597" s="15" t="s">
        <v>621</v>
      </c>
      <c r="I597" s="16" t="s">
        <v>1834</v>
      </c>
      <c r="J597" s="16" t="s">
        <v>1835</v>
      </c>
    </row>
    <row r="598" customFormat="false" ht="35.05" hidden="false" customHeight="false" outlineLevel="0" collapsed="false">
      <c r="A598" s="15" t="s">
        <v>433</v>
      </c>
      <c r="B598" s="16" t="s">
        <v>443</v>
      </c>
      <c r="C598" s="16" t="s">
        <v>619</v>
      </c>
      <c r="D598" s="15" t="s">
        <v>398</v>
      </c>
      <c r="E598" s="16" t="s">
        <v>641</v>
      </c>
      <c r="F598" s="15" t="n">
        <v>1</v>
      </c>
      <c r="G598" s="16" t="s">
        <v>17</v>
      </c>
      <c r="H598" s="15" t="s">
        <v>621</v>
      </c>
      <c r="I598" s="16" t="s">
        <v>1836</v>
      </c>
      <c r="J598" s="16" t="s">
        <v>1837</v>
      </c>
    </row>
    <row r="599" customFormat="false" ht="35.05" hidden="false" customHeight="false" outlineLevel="0" collapsed="false">
      <c r="A599" s="15" t="s">
        <v>433</v>
      </c>
      <c r="B599" s="16" t="s">
        <v>443</v>
      </c>
      <c r="C599" s="16" t="s">
        <v>619</v>
      </c>
      <c r="D599" s="15" t="s">
        <v>196</v>
      </c>
      <c r="E599" s="16" t="s">
        <v>624</v>
      </c>
      <c r="F599" s="15" t="n">
        <v>2</v>
      </c>
      <c r="G599" s="16" t="s">
        <v>17</v>
      </c>
      <c r="H599" s="15" t="s">
        <v>627</v>
      </c>
      <c r="I599" s="16" t="s">
        <v>1836</v>
      </c>
      <c r="J599" s="16" t="s">
        <v>1838</v>
      </c>
    </row>
    <row r="600" customFormat="false" ht="35.05" hidden="false" customHeight="false" outlineLevel="0" collapsed="false">
      <c r="A600" s="15" t="s">
        <v>433</v>
      </c>
      <c r="B600" s="16" t="s">
        <v>443</v>
      </c>
      <c r="C600" s="16" t="s">
        <v>619</v>
      </c>
      <c r="D600" s="15" t="s">
        <v>573</v>
      </c>
      <c r="E600" s="16" t="s">
        <v>923</v>
      </c>
      <c r="F600" s="15" t="n">
        <v>2</v>
      </c>
      <c r="G600" s="16" t="s">
        <v>17</v>
      </c>
      <c r="H600" s="15" t="s">
        <v>627</v>
      </c>
      <c r="I600" s="16" t="s">
        <v>1839</v>
      </c>
      <c r="J600" s="16" t="s">
        <v>1840</v>
      </c>
    </row>
    <row r="601" customFormat="false" ht="35.05" hidden="false" customHeight="false" outlineLevel="0" collapsed="false">
      <c r="A601" s="15" t="s">
        <v>433</v>
      </c>
      <c r="B601" s="16" t="s">
        <v>443</v>
      </c>
      <c r="C601" s="16" t="s">
        <v>619</v>
      </c>
      <c r="D601" s="15" t="s">
        <v>575</v>
      </c>
      <c r="E601" s="16" t="s">
        <v>950</v>
      </c>
      <c r="F601" s="15" t="n">
        <v>2</v>
      </c>
      <c r="G601" s="16" t="s">
        <v>1841</v>
      </c>
      <c r="H601" s="15" t="s">
        <v>654</v>
      </c>
      <c r="I601" s="16" t="s">
        <v>1836</v>
      </c>
      <c r="J601" s="16" t="s">
        <v>1842</v>
      </c>
    </row>
    <row r="602" customFormat="false" ht="35.05" hidden="false" customHeight="false" outlineLevel="0" collapsed="false">
      <c r="A602" s="15" t="s">
        <v>433</v>
      </c>
      <c r="B602" s="16" t="s">
        <v>443</v>
      </c>
      <c r="C602" s="16" t="s">
        <v>619</v>
      </c>
      <c r="D602" s="15" t="s">
        <v>235</v>
      </c>
      <c r="E602" s="16" t="s">
        <v>1204</v>
      </c>
      <c r="F602" s="15" t="n">
        <v>7</v>
      </c>
      <c r="G602" s="16" t="s">
        <v>1843</v>
      </c>
      <c r="H602" s="15" t="s">
        <v>654</v>
      </c>
      <c r="I602" s="16" t="s">
        <v>1844</v>
      </c>
      <c r="J602" s="16" t="s">
        <v>1845</v>
      </c>
    </row>
    <row r="603" customFormat="false" ht="35.05" hidden="false" customHeight="false" outlineLevel="0" collapsed="false">
      <c r="A603" s="15" t="s">
        <v>433</v>
      </c>
      <c r="B603" s="16" t="s">
        <v>443</v>
      </c>
      <c r="C603" s="16" t="s">
        <v>619</v>
      </c>
      <c r="D603" s="15" t="s">
        <v>451</v>
      </c>
      <c r="E603" s="16" t="s">
        <v>672</v>
      </c>
      <c r="F603" s="15" t="n">
        <v>2</v>
      </c>
      <c r="G603" s="16" t="s">
        <v>17</v>
      </c>
      <c r="H603" s="15" t="s">
        <v>627</v>
      </c>
      <c r="I603" s="16" t="s">
        <v>1836</v>
      </c>
      <c r="J603" s="16" t="s">
        <v>1846</v>
      </c>
    </row>
    <row r="604" customFormat="false" ht="35.05" hidden="false" customHeight="false" outlineLevel="0" collapsed="false">
      <c r="A604" s="15" t="s">
        <v>433</v>
      </c>
      <c r="B604" s="16" t="s">
        <v>443</v>
      </c>
      <c r="C604" s="16" t="s">
        <v>619</v>
      </c>
      <c r="D604" s="15" t="s">
        <v>584</v>
      </c>
      <c r="E604" s="16" t="s">
        <v>1131</v>
      </c>
      <c r="F604" s="15" t="n">
        <v>7</v>
      </c>
      <c r="G604" s="16" t="s">
        <v>17</v>
      </c>
      <c r="H604" s="15" t="s">
        <v>654</v>
      </c>
      <c r="I604" s="16" t="s">
        <v>1847</v>
      </c>
      <c r="J604" s="16" t="s">
        <v>1848</v>
      </c>
    </row>
    <row r="605" customFormat="false" ht="46.25" hidden="false" customHeight="false" outlineLevel="0" collapsed="false">
      <c r="A605" s="15" t="s">
        <v>433</v>
      </c>
      <c r="B605" s="16" t="s">
        <v>443</v>
      </c>
      <c r="C605" s="16" t="s">
        <v>619</v>
      </c>
      <c r="D605" s="15" t="s">
        <v>477</v>
      </c>
      <c r="E605" s="16" t="s">
        <v>1133</v>
      </c>
      <c r="F605" s="15" t="n">
        <v>4</v>
      </c>
      <c r="G605" s="16" t="s">
        <v>17</v>
      </c>
      <c r="H605" s="15" t="s">
        <v>627</v>
      </c>
      <c r="I605" s="16" t="s">
        <v>1849</v>
      </c>
      <c r="J605" s="16" t="s">
        <v>1850</v>
      </c>
    </row>
    <row r="606" customFormat="false" ht="35.05" hidden="false" customHeight="false" outlineLevel="0" collapsed="false">
      <c r="A606" s="15" t="s">
        <v>433</v>
      </c>
      <c r="B606" s="16" t="s">
        <v>443</v>
      </c>
      <c r="C606" s="16" t="s">
        <v>619</v>
      </c>
      <c r="D606" s="15" t="s">
        <v>166</v>
      </c>
      <c r="E606" s="16" t="s">
        <v>823</v>
      </c>
      <c r="F606" s="15" t="n">
        <v>1</v>
      </c>
      <c r="G606" s="16" t="s">
        <v>17</v>
      </c>
      <c r="H606" s="15" t="s">
        <v>621</v>
      </c>
      <c r="I606" s="16" t="s">
        <v>1851</v>
      </c>
      <c r="J606" s="16" t="s">
        <v>1852</v>
      </c>
    </row>
    <row r="607" customFormat="false" ht="35.05" hidden="false" customHeight="false" outlineLevel="0" collapsed="false">
      <c r="A607" s="15" t="s">
        <v>433</v>
      </c>
      <c r="B607" s="16" t="s">
        <v>443</v>
      </c>
      <c r="C607" s="16" t="s">
        <v>447</v>
      </c>
      <c r="D607" s="15" t="s">
        <v>196</v>
      </c>
      <c r="E607" s="16" t="s">
        <v>624</v>
      </c>
      <c r="F607" s="15" t="n">
        <v>1</v>
      </c>
      <c r="G607" s="16" t="s">
        <v>17</v>
      </c>
      <c r="H607" s="15" t="s">
        <v>621</v>
      </c>
      <c r="I607" s="16" t="s">
        <v>447</v>
      </c>
      <c r="J607" s="16" t="s">
        <v>1853</v>
      </c>
    </row>
    <row r="608" customFormat="false" ht="35.05" hidden="false" customHeight="false" outlineLevel="0" collapsed="false">
      <c r="A608" s="15" t="s">
        <v>433</v>
      </c>
      <c r="B608" s="16" t="s">
        <v>443</v>
      </c>
      <c r="C608" s="16" t="s">
        <v>447</v>
      </c>
      <c r="D608" s="15" t="s">
        <v>235</v>
      </c>
      <c r="E608" s="16" t="s">
        <v>1204</v>
      </c>
      <c r="F608" s="15" t="n">
        <v>3</v>
      </c>
      <c r="G608" s="16" t="s">
        <v>17</v>
      </c>
      <c r="H608" s="15" t="s">
        <v>627</v>
      </c>
      <c r="I608" s="16" t="s">
        <v>447</v>
      </c>
      <c r="J608" s="16" t="s">
        <v>1854</v>
      </c>
    </row>
    <row r="609" customFormat="false" ht="35.05" hidden="false" customHeight="false" outlineLevel="0" collapsed="false">
      <c r="A609" s="15" t="s">
        <v>433</v>
      </c>
      <c r="B609" s="16" t="s">
        <v>443</v>
      </c>
      <c r="C609" s="16" t="s">
        <v>447</v>
      </c>
      <c r="D609" s="15" t="s">
        <v>584</v>
      </c>
      <c r="E609" s="16" t="s">
        <v>1131</v>
      </c>
      <c r="F609" s="15" t="n">
        <v>1</v>
      </c>
      <c r="G609" s="16" t="s">
        <v>17</v>
      </c>
      <c r="H609" s="15" t="s">
        <v>621</v>
      </c>
      <c r="I609" s="16" t="s">
        <v>447</v>
      </c>
      <c r="J609" s="16" t="s">
        <v>1855</v>
      </c>
    </row>
    <row r="610" customFormat="false" ht="35.05" hidden="false" customHeight="false" outlineLevel="0" collapsed="false">
      <c r="A610" s="15" t="s">
        <v>433</v>
      </c>
      <c r="B610" s="16" t="s">
        <v>448</v>
      </c>
      <c r="C610" s="16" t="s">
        <v>619</v>
      </c>
      <c r="D610" s="15" t="s">
        <v>196</v>
      </c>
      <c r="E610" s="16" t="s">
        <v>624</v>
      </c>
      <c r="F610" s="15" t="n">
        <v>1</v>
      </c>
      <c r="G610" s="16" t="s">
        <v>17</v>
      </c>
      <c r="H610" s="15" t="s">
        <v>621</v>
      </c>
      <c r="I610" s="16" t="s">
        <v>1856</v>
      </c>
      <c r="J610" s="16" t="s">
        <v>1857</v>
      </c>
    </row>
    <row r="611" customFormat="false" ht="35.05" hidden="false" customHeight="false" outlineLevel="0" collapsed="false">
      <c r="A611" s="15" t="s">
        <v>433</v>
      </c>
      <c r="B611" s="16" t="s">
        <v>448</v>
      </c>
      <c r="C611" s="16" t="s">
        <v>619</v>
      </c>
      <c r="D611" s="15" t="s">
        <v>566</v>
      </c>
      <c r="E611" s="16" t="s">
        <v>722</v>
      </c>
      <c r="F611" s="15" t="n">
        <v>1</v>
      </c>
      <c r="G611" s="16" t="s">
        <v>17</v>
      </c>
      <c r="H611" s="15" t="s">
        <v>621</v>
      </c>
      <c r="I611" s="16" t="s">
        <v>1858</v>
      </c>
      <c r="J611" s="16" t="s">
        <v>1859</v>
      </c>
    </row>
    <row r="612" customFormat="false" ht="35.05" hidden="false" customHeight="false" outlineLevel="0" collapsed="false">
      <c r="A612" s="15" t="s">
        <v>433</v>
      </c>
      <c r="B612" s="16" t="s">
        <v>448</v>
      </c>
      <c r="C612" s="16" t="s">
        <v>619</v>
      </c>
      <c r="D612" s="15" t="s">
        <v>451</v>
      </c>
      <c r="E612" s="16" t="s">
        <v>672</v>
      </c>
      <c r="F612" s="15" t="n">
        <v>14</v>
      </c>
      <c r="G612" s="16" t="s">
        <v>1860</v>
      </c>
      <c r="H612" s="15" t="s">
        <v>654</v>
      </c>
      <c r="I612" s="16" t="s">
        <v>1861</v>
      </c>
      <c r="J612" s="16" t="s">
        <v>1862</v>
      </c>
    </row>
    <row r="613" customFormat="false" ht="35.05" hidden="false" customHeight="false" outlineLevel="0" collapsed="false">
      <c r="A613" s="15" t="s">
        <v>433</v>
      </c>
      <c r="B613" s="16" t="s">
        <v>448</v>
      </c>
      <c r="C613" s="16" t="s">
        <v>619</v>
      </c>
      <c r="D613" s="15" t="s">
        <v>584</v>
      </c>
      <c r="E613" s="16" t="s">
        <v>1131</v>
      </c>
      <c r="F613" s="15" t="n">
        <v>1</v>
      </c>
      <c r="G613" s="16" t="s">
        <v>17</v>
      </c>
      <c r="H613" s="15" t="s">
        <v>621</v>
      </c>
      <c r="I613" s="16" t="s">
        <v>1863</v>
      </c>
      <c r="J613" s="16" t="s">
        <v>1864</v>
      </c>
    </row>
    <row r="614" customFormat="false" ht="35.05" hidden="false" customHeight="false" outlineLevel="0" collapsed="false">
      <c r="A614" s="15" t="s">
        <v>433</v>
      </c>
      <c r="B614" s="16" t="s">
        <v>448</v>
      </c>
      <c r="C614" s="16" t="s">
        <v>452</v>
      </c>
      <c r="D614" s="15" t="s">
        <v>196</v>
      </c>
      <c r="E614" s="16" t="s">
        <v>624</v>
      </c>
      <c r="F614" s="15" t="n">
        <v>2</v>
      </c>
      <c r="G614" s="16" t="s">
        <v>17</v>
      </c>
      <c r="H614" s="15" t="s">
        <v>627</v>
      </c>
      <c r="I614" s="16" t="s">
        <v>1865</v>
      </c>
      <c r="J614" s="16" t="s">
        <v>1866</v>
      </c>
    </row>
    <row r="615" customFormat="false" ht="35.05" hidden="false" customHeight="false" outlineLevel="0" collapsed="false">
      <c r="A615" s="15" t="s">
        <v>433</v>
      </c>
      <c r="B615" s="16" t="s">
        <v>448</v>
      </c>
      <c r="C615" s="16" t="s">
        <v>452</v>
      </c>
      <c r="D615" s="15" t="s">
        <v>266</v>
      </c>
      <c r="E615" s="16" t="s">
        <v>685</v>
      </c>
      <c r="F615" s="15" t="n">
        <v>1</v>
      </c>
      <c r="G615" s="16" t="s">
        <v>17</v>
      </c>
      <c r="H615" s="15" t="s">
        <v>621</v>
      </c>
      <c r="I615" s="16" t="s">
        <v>1867</v>
      </c>
      <c r="J615" s="16" t="s">
        <v>1868</v>
      </c>
    </row>
    <row r="616" customFormat="false" ht="35.05" hidden="false" customHeight="false" outlineLevel="0" collapsed="false">
      <c r="A616" s="15" t="s">
        <v>433</v>
      </c>
      <c r="B616" s="16" t="s">
        <v>448</v>
      </c>
      <c r="C616" s="16" t="s">
        <v>452</v>
      </c>
      <c r="D616" s="15" t="s">
        <v>296</v>
      </c>
      <c r="E616" s="16" t="s">
        <v>714</v>
      </c>
      <c r="F616" s="15" t="n">
        <v>1</v>
      </c>
      <c r="G616" s="16" t="s">
        <v>17</v>
      </c>
      <c r="H616" s="15" t="s">
        <v>621</v>
      </c>
      <c r="I616" s="16" t="s">
        <v>1869</v>
      </c>
      <c r="J616" s="16" t="s">
        <v>1870</v>
      </c>
    </row>
    <row r="617" customFormat="false" ht="35.05" hidden="false" customHeight="false" outlineLevel="0" collapsed="false">
      <c r="A617" s="15" t="s">
        <v>433</v>
      </c>
      <c r="B617" s="16" t="s">
        <v>448</v>
      </c>
      <c r="C617" s="16" t="s">
        <v>452</v>
      </c>
      <c r="D617" s="15" t="s">
        <v>578</v>
      </c>
      <c r="E617" s="16" t="s">
        <v>666</v>
      </c>
      <c r="F617" s="15" t="n">
        <v>2</v>
      </c>
      <c r="G617" s="16" t="s">
        <v>17</v>
      </c>
      <c r="H617" s="15" t="s">
        <v>627</v>
      </c>
      <c r="I617" s="16" t="s">
        <v>1867</v>
      </c>
      <c r="J617" s="16" t="s">
        <v>1871</v>
      </c>
    </row>
    <row r="618" customFormat="false" ht="46.25" hidden="false" customHeight="false" outlineLevel="0" collapsed="false">
      <c r="A618" s="15" t="s">
        <v>433</v>
      </c>
      <c r="B618" s="16" t="s">
        <v>448</v>
      </c>
      <c r="C618" s="16" t="s">
        <v>452</v>
      </c>
      <c r="D618" s="15" t="s">
        <v>451</v>
      </c>
      <c r="E618" s="16" t="s">
        <v>672</v>
      </c>
      <c r="F618" s="15" t="n">
        <v>26</v>
      </c>
      <c r="G618" s="16" t="s">
        <v>1872</v>
      </c>
      <c r="H618" s="15" t="s">
        <v>654</v>
      </c>
      <c r="I618" s="16" t="s">
        <v>1873</v>
      </c>
      <c r="J618" s="16" t="s">
        <v>1874</v>
      </c>
    </row>
    <row r="619" customFormat="false" ht="35.05" hidden="false" customHeight="false" outlineLevel="0" collapsed="false">
      <c r="A619" s="15" t="s">
        <v>433</v>
      </c>
      <c r="B619" s="16" t="s">
        <v>448</v>
      </c>
      <c r="C619" s="16" t="s">
        <v>452</v>
      </c>
      <c r="D619" s="15" t="s">
        <v>584</v>
      </c>
      <c r="E619" s="16" t="s">
        <v>1131</v>
      </c>
      <c r="F619" s="15" t="n">
        <v>1</v>
      </c>
      <c r="G619" s="16" t="s">
        <v>17</v>
      </c>
      <c r="H619" s="15" t="s">
        <v>621</v>
      </c>
      <c r="I619" s="16" t="s">
        <v>1875</v>
      </c>
      <c r="J619" s="16" t="s">
        <v>1876</v>
      </c>
    </row>
    <row r="620" customFormat="false" ht="35.05" hidden="false" customHeight="false" outlineLevel="0" collapsed="false">
      <c r="A620" s="15" t="s">
        <v>433</v>
      </c>
      <c r="B620" s="16" t="s">
        <v>448</v>
      </c>
      <c r="C620" s="16" t="s">
        <v>452</v>
      </c>
      <c r="D620" s="15" t="s">
        <v>473</v>
      </c>
      <c r="E620" s="16" t="s">
        <v>775</v>
      </c>
      <c r="F620" s="15" t="n">
        <v>1</v>
      </c>
      <c r="G620" s="16" t="s">
        <v>17</v>
      </c>
      <c r="H620" s="15" t="s">
        <v>621</v>
      </c>
      <c r="I620" s="16" t="s">
        <v>1875</v>
      </c>
      <c r="J620" s="16" t="s">
        <v>1877</v>
      </c>
    </row>
    <row r="621" customFormat="false" ht="35.05" hidden="false" customHeight="false" outlineLevel="0" collapsed="false">
      <c r="A621" s="15" t="s">
        <v>433</v>
      </c>
      <c r="B621" s="16" t="s">
        <v>448</v>
      </c>
      <c r="C621" s="16" t="s">
        <v>452</v>
      </c>
      <c r="D621" s="15" t="s">
        <v>477</v>
      </c>
      <c r="E621" s="16" t="s">
        <v>1133</v>
      </c>
      <c r="F621" s="15" t="n">
        <v>1</v>
      </c>
      <c r="G621" s="16" t="s">
        <v>17</v>
      </c>
      <c r="H621" s="15" t="s">
        <v>621</v>
      </c>
      <c r="I621" s="16" t="s">
        <v>1878</v>
      </c>
      <c r="J621" s="16" t="s">
        <v>1879</v>
      </c>
    </row>
    <row r="622" customFormat="false" ht="35.05" hidden="false" customHeight="false" outlineLevel="0" collapsed="false">
      <c r="A622" s="15" t="s">
        <v>433</v>
      </c>
      <c r="B622" s="16" t="s">
        <v>448</v>
      </c>
      <c r="C622" s="16" t="s">
        <v>452</v>
      </c>
      <c r="D622" s="15" t="s">
        <v>538</v>
      </c>
      <c r="E622" s="16" t="s">
        <v>1318</v>
      </c>
      <c r="F622" s="15" t="n">
        <v>1</v>
      </c>
      <c r="G622" s="16" t="s">
        <v>17</v>
      </c>
      <c r="H622" s="15" t="s">
        <v>621</v>
      </c>
      <c r="I622" s="16" t="s">
        <v>1867</v>
      </c>
      <c r="J622" s="16" t="s">
        <v>1880</v>
      </c>
    </row>
    <row r="623" customFormat="false" ht="35.05" hidden="false" customHeight="false" outlineLevel="0" collapsed="false">
      <c r="A623" s="15" t="s">
        <v>433</v>
      </c>
      <c r="B623" s="16" t="s">
        <v>448</v>
      </c>
      <c r="C623" s="16" t="s">
        <v>452</v>
      </c>
      <c r="D623" s="15" t="s">
        <v>596</v>
      </c>
      <c r="E623" s="16" t="s">
        <v>1321</v>
      </c>
      <c r="F623" s="15" t="n">
        <v>1</v>
      </c>
      <c r="G623" s="16" t="s">
        <v>17</v>
      </c>
      <c r="H623" s="15" t="s">
        <v>621</v>
      </c>
      <c r="I623" s="16" t="s">
        <v>1867</v>
      </c>
      <c r="J623" s="16" t="s">
        <v>1881</v>
      </c>
    </row>
    <row r="624" customFormat="false" ht="46.25" hidden="false" customHeight="false" outlineLevel="0" collapsed="false">
      <c r="A624" s="15" t="s">
        <v>433</v>
      </c>
      <c r="B624" s="16" t="s">
        <v>448</v>
      </c>
      <c r="C624" s="16" t="s">
        <v>452</v>
      </c>
      <c r="D624" s="15" t="s">
        <v>467</v>
      </c>
      <c r="E624" s="16" t="s">
        <v>1201</v>
      </c>
      <c r="F624" s="15" t="n">
        <v>1</v>
      </c>
      <c r="G624" s="16" t="s">
        <v>17</v>
      </c>
      <c r="H624" s="15" t="s">
        <v>621</v>
      </c>
      <c r="I624" s="16" t="s">
        <v>1878</v>
      </c>
      <c r="J624" s="16" t="s">
        <v>1882</v>
      </c>
    </row>
    <row r="625" customFormat="false" ht="35.05" hidden="false" customHeight="false" outlineLevel="0" collapsed="false">
      <c r="A625" s="15" t="s">
        <v>433</v>
      </c>
      <c r="B625" s="16" t="s">
        <v>454</v>
      </c>
      <c r="C625" s="16" t="s">
        <v>619</v>
      </c>
      <c r="D625" s="15" t="s">
        <v>235</v>
      </c>
      <c r="E625" s="16" t="s">
        <v>1204</v>
      </c>
      <c r="F625" s="15" t="n">
        <v>11</v>
      </c>
      <c r="G625" s="16" t="s">
        <v>1883</v>
      </c>
      <c r="H625" s="15" t="s">
        <v>654</v>
      </c>
      <c r="I625" s="16" t="s">
        <v>1884</v>
      </c>
      <c r="J625" s="16" t="s">
        <v>1885</v>
      </c>
    </row>
    <row r="626" customFormat="false" ht="35.05" hidden="false" customHeight="false" outlineLevel="0" collapsed="false">
      <c r="A626" s="15" t="s">
        <v>433</v>
      </c>
      <c r="B626" s="16" t="s">
        <v>454</v>
      </c>
      <c r="C626" s="16" t="s">
        <v>619</v>
      </c>
      <c r="D626" s="15" t="s">
        <v>583</v>
      </c>
      <c r="E626" s="16" t="s">
        <v>669</v>
      </c>
      <c r="F626" s="15" t="n">
        <v>1</v>
      </c>
      <c r="G626" s="16" t="s">
        <v>17</v>
      </c>
      <c r="H626" s="15" t="s">
        <v>621</v>
      </c>
      <c r="I626" s="16" t="s">
        <v>1886</v>
      </c>
      <c r="J626" s="16" t="s">
        <v>1887</v>
      </c>
    </row>
    <row r="627" customFormat="false" ht="35.05" hidden="false" customHeight="false" outlineLevel="0" collapsed="false">
      <c r="A627" s="15" t="s">
        <v>433</v>
      </c>
      <c r="B627" s="16" t="s">
        <v>454</v>
      </c>
      <c r="C627" s="16" t="s">
        <v>619</v>
      </c>
      <c r="D627" s="15" t="s">
        <v>451</v>
      </c>
      <c r="E627" s="16" t="s">
        <v>672</v>
      </c>
      <c r="F627" s="15" t="n">
        <v>10</v>
      </c>
      <c r="G627" s="16" t="s">
        <v>1888</v>
      </c>
      <c r="H627" s="15" t="s">
        <v>654</v>
      </c>
      <c r="I627" s="16" t="s">
        <v>1889</v>
      </c>
      <c r="J627" s="16" t="s">
        <v>1890</v>
      </c>
    </row>
    <row r="628" customFormat="false" ht="35.05" hidden="false" customHeight="false" outlineLevel="0" collapsed="false">
      <c r="A628" s="15" t="s">
        <v>433</v>
      </c>
      <c r="B628" s="16" t="s">
        <v>454</v>
      </c>
      <c r="C628" s="16" t="s">
        <v>619</v>
      </c>
      <c r="D628" s="15" t="s">
        <v>585</v>
      </c>
      <c r="E628" s="16" t="s">
        <v>907</v>
      </c>
      <c r="F628" s="15" t="n">
        <v>1</v>
      </c>
      <c r="G628" s="16" t="s">
        <v>17</v>
      </c>
      <c r="H628" s="15" t="s">
        <v>621</v>
      </c>
      <c r="I628" s="16" t="s">
        <v>1891</v>
      </c>
      <c r="J628" s="16" t="s">
        <v>1892</v>
      </c>
    </row>
    <row r="629" customFormat="false" ht="35.05" hidden="false" customHeight="false" outlineLevel="0" collapsed="false">
      <c r="A629" s="15" t="s">
        <v>433</v>
      </c>
      <c r="B629" s="16" t="s">
        <v>454</v>
      </c>
      <c r="C629" s="16" t="s">
        <v>619</v>
      </c>
      <c r="D629" s="15" t="s">
        <v>499</v>
      </c>
      <c r="E629" s="16" t="s">
        <v>1893</v>
      </c>
      <c r="F629" s="15" t="n">
        <v>3</v>
      </c>
      <c r="G629" s="16" t="s">
        <v>1894</v>
      </c>
      <c r="H629" s="15" t="s">
        <v>654</v>
      </c>
      <c r="I629" s="16" t="s">
        <v>1895</v>
      </c>
      <c r="J629" s="16" t="s">
        <v>1896</v>
      </c>
    </row>
    <row r="630" customFormat="false" ht="35.05" hidden="false" customHeight="false" outlineLevel="0" collapsed="false">
      <c r="A630" s="15" t="s">
        <v>433</v>
      </c>
      <c r="B630" s="16" t="s">
        <v>454</v>
      </c>
      <c r="C630" s="16" t="s">
        <v>458</v>
      </c>
      <c r="D630" s="15" t="s">
        <v>235</v>
      </c>
      <c r="E630" s="16" t="s">
        <v>1204</v>
      </c>
      <c r="F630" s="15" t="n">
        <v>2</v>
      </c>
      <c r="G630" s="16" t="s">
        <v>1888</v>
      </c>
      <c r="H630" s="15" t="s">
        <v>654</v>
      </c>
      <c r="I630" s="16" t="s">
        <v>1897</v>
      </c>
      <c r="J630" s="16" t="s">
        <v>1898</v>
      </c>
    </row>
    <row r="631" customFormat="false" ht="35.05" hidden="false" customHeight="false" outlineLevel="0" collapsed="false">
      <c r="A631" s="15" t="s">
        <v>433</v>
      </c>
      <c r="B631" s="16" t="s">
        <v>454</v>
      </c>
      <c r="C631" s="16" t="s">
        <v>458</v>
      </c>
      <c r="D631" s="15" t="s">
        <v>451</v>
      </c>
      <c r="E631" s="16" t="s">
        <v>672</v>
      </c>
      <c r="F631" s="15" t="n">
        <v>2</v>
      </c>
      <c r="G631" s="16" t="s">
        <v>1888</v>
      </c>
      <c r="H631" s="15" t="s">
        <v>654</v>
      </c>
      <c r="I631" s="16" t="s">
        <v>1897</v>
      </c>
      <c r="J631" s="16" t="s">
        <v>1899</v>
      </c>
    </row>
    <row r="632" customFormat="false" ht="35.05" hidden="false" customHeight="false" outlineLevel="0" collapsed="false">
      <c r="A632" s="15" t="s">
        <v>433</v>
      </c>
      <c r="B632" s="16" t="s">
        <v>459</v>
      </c>
      <c r="C632" s="16" t="s">
        <v>619</v>
      </c>
      <c r="D632" s="15" t="s">
        <v>451</v>
      </c>
      <c r="E632" s="16" t="s">
        <v>672</v>
      </c>
      <c r="F632" s="15" t="n">
        <v>5</v>
      </c>
      <c r="G632" s="16" t="s">
        <v>17</v>
      </c>
      <c r="H632" s="15" t="s">
        <v>654</v>
      </c>
      <c r="I632" s="16" t="s">
        <v>1900</v>
      </c>
      <c r="J632" s="16" t="s">
        <v>1901</v>
      </c>
    </row>
    <row r="633" customFormat="false" ht="35.05" hidden="false" customHeight="false" outlineLevel="0" collapsed="false">
      <c r="A633" s="15" t="s">
        <v>433</v>
      </c>
      <c r="B633" s="16" t="s">
        <v>459</v>
      </c>
      <c r="C633" s="16" t="s">
        <v>619</v>
      </c>
      <c r="D633" s="15" t="s">
        <v>473</v>
      </c>
      <c r="E633" s="16" t="s">
        <v>775</v>
      </c>
      <c r="F633" s="15" t="n">
        <v>3</v>
      </c>
      <c r="G633" s="16" t="s">
        <v>17</v>
      </c>
      <c r="H633" s="15" t="s">
        <v>627</v>
      </c>
      <c r="I633" s="16" t="s">
        <v>1902</v>
      </c>
      <c r="J633" s="16" t="s">
        <v>1903</v>
      </c>
    </row>
    <row r="634" customFormat="false" ht="35.05" hidden="false" customHeight="false" outlineLevel="0" collapsed="false">
      <c r="A634" s="15" t="s">
        <v>433</v>
      </c>
      <c r="B634" s="16" t="s">
        <v>462</v>
      </c>
      <c r="C634" s="16" t="s">
        <v>619</v>
      </c>
      <c r="D634" s="15" t="s">
        <v>398</v>
      </c>
      <c r="E634" s="16" t="s">
        <v>641</v>
      </c>
      <c r="F634" s="15" t="n">
        <v>1</v>
      </c>
      <c r="G634" s="16" t="s">
        <v>17</v>
      </c>
      <c r="H634" s="15" t="s">
        <v>621</v>
      </c>
      <c r="I634" s="16" t="s">
        <v>1904</v>
      </c>
      <c r="J634" s="16" t="s">
        <v>1905</v>
      </c>
    </row>
    <row r="635" customFormat="false" ht="57.45" hidden="false" customHeight="false" outlineLevel="0" collapsed="false">
      <c r="A635" s="15" t="s">
        <v>433</v>
      </c>
      <c r="B635" s="16" t="s">
        <v>462</v>
      </c>
      <c r="C635" s="16" t="s">
        <v>619</v>
      </c>
      <c r="D635" s="15" t="s">
        <v>573</v>
      </c>
      <c r="E635" s="16" t="s">
        <v>923</v>
      </c>
      <c r="F635" s="15" t="n">
        <v>13</v>
      </c>
      <c r="G635" s="16" t="s">
        <v>1906</v>
      </c>
      <c r="H635" s="15" t="s">
        <v>654</v>
      </c>
      <c r="I635" s="16" t="s">
        <v>1904</v>
      </c>
      <c r="J635" s="16" t="s">
        <v>1907</v>
      </c>
    </row>
    <row r="636" customFormat="false" ht="35.05" hidden="false" customHeight="false" outlineLevel="0" collapsed="false">
      <c r="A636" s="15" t="s">
        <v>433</v>
      </c>
      <c r="B636" s="16" t="s">
        <v>462</v>
      </c>
      <c r="C636" s="16" t="s">
        <v>619</v>
      </c>
      <c r="D636" s="15" t="s">
        <v>578</v>
      </c>
      <c r="E636" s="16" t="s">
        <v>666</v>
      </c>
      <c r="F636" s="15" t="n">
        <v>1</v>
      </c>
      <c r="G636" s="16" t="s">
        <v>17</v>
      </c>
      <c r="H636" s="15" t="s">
        <v>621</v>
      </c>
      <c r="I636" s="16" t="s">
        <v>1904</v>
      </c>
      <c r="J636" s="16" t="s">
        <v>1908</v>
      </c>
    </row>
    <row r="637" customFormat="false" ht="35.05" hidden="false" customHeight="false" outlineLevel="0" collapsed="false">
      <c r="A637" s="15" t="s">
        <v>433</v>
      </c>
      <c r="B637" s="16" t="s">
        <v>462</v>
      </c>
      <c r="C637" s="16" t="s">
        <v>619</v>
      </c>
      <c r="D637" s="15" t="s">
        <v>109</v>
      </c>
      <c r="E637" s="16" t="s">
        <v>742</v>
      </c>
      <c r="F637" s="15" t="n">
        <v>3</v>
      </c>
      <c r="G637" s="16" t="s">
        <v>17</v>
      </c>
      <c r="H637" s="15" t="s">
        <v>627</v>
      </c>
      <c r="I637" s="16" t="s">
        <v>1909</v>
      </c>
      <c r="J637" s="16" t="s">
        <v>1910</v>
      </c>
    </row>
    <row r="638" customFormat="false" ht="35.05" hidden="false" customHeight="false" outlineLevel="0" collapsed="false">
      <c r="A638" s="15" t="s">
        <v>433</v>
      </c>
      <c r="B638" s="16" t="s">
        <v>462</v>
      </c>
      <c r="C638" s="16" t="s">
        <v>619</v>
      </c>
      <c r="D638" s="15" t="s">
        <v>582</v>
      </c>
      <c r="E638" s="16" t="s">
        <v>1911</v>
      </c>
      <c r="F638" s="15" t="n">
        <v>1</v>
      </c>
      <c r="G638" s="16" t="s">
        <v>17</v>
      </c>
      <c r="H638" s="15" t="s">
        <v>621</v>
      </c>
      <c r="I638" s="16" t="s">
        <v>1909</v>
      </c>
      <c r="J638" s="16" t="s">
        <v>1912</v>
      </c>
    </row>
    <row r="639" customFormat="false" ht="35.05" hidden="false" customHeight="false" outlineLevel="0" collapsed="false">
      <c r="A639" s="15" t="s">
        <v>433</v>
      </c>
      <c r="B639" s="16" t="s">
        <v>462</v>
      </c>
      <c r="C639" s="16" t="s">
        <v>619</v>
      </c>
      <c r="D639" s="15" t="s">
        <v>235</v>
      </c>
      <c r="E639" s="16" t="s">
        <v>1204</v>
      </c>
      <c r="F639" s="15" t="n">
        <v>3</v>
      </c>
      <c r="G639" s="16" t="s">
        <v>1913</v>
      </c>
      <c r="H639" s="15" t="s">
        <v>654</v>
      </c>
      <c r="I639" s="16" t="s">
        <v>1914</v>
      </c>
      <c r="J639" s="16" t="s">
        <v>1915</v>
      </c>
    </row>
    <row r="640" customFormat="false" ht="35.05" hidden="false" customHeight="false" outlineLevel="0" collapsed="false">
      <c r="A640" s="15" t="s">
        <v>433</v>
      </c>
      <c r="B640" s="16" t="s">
        <v>462</v>
      </c>
      <c r="C640" s="16" t="s">
        <v>619</v>
      </c>
      <c r="D640" s="15" t="s">
        <v>451</v>
      </c>
      <c r="E640" s="16" t="s">
        <v>672</v>
      </c>
      <c r="F640" s="15" t="n">
        <v>2</v>
      </c>
      <c r="G640" s="16" t="s">
        <v>17</v>
      </c>
      <c r="H640" s="15" t="s">
        <v>627</v>
      </c>
      <c r="I640" s="16" t="s">
        <v>1916</v>
      </c>
      <c r="J640" s="16" t="s">
        <v>1917</v>
      </c>
    </row>
    <row r="641" customFormat="false" ht="35.05" hidden="false" customHeight="false" outlineLevel="0" collapsed="false">
      <c r="A641" s="15" t="s">
        <v>433</v>
      </c>
      <c r="B641" s="16" t="s">
        <v>462</v>
      </c>
      <c r="C641" s="16" t="s">
        <v>619</v>
      </c>
      <c r="D641" s="15" t="s">
        <v>584</v>
      </c>
      <c r="E641" s="16" t="s">
        <v>1131</v>
      </c>
      <c r="F641" s="15" t="n">
        <v>4</v>
      </c>
      <c r="G641" s="16" t="s">
        <v>17</v>
      </c>
      <c r="H641" s="15" t="s">
        <v>627</v>
      </c>
      <c r="I641" s="16" t="s">
        <v>1918</v>
      </c>
      <c r="J641" s="16" t="s">
        <v>1919</v>
      </c>
    </row>
    <row r="642" customFormat="false" ht="35.05" hidden="false" customHeight="false" outlineLevel="0" collapsed="false">
      <c r="A642" s="15" t="s">
        <v>433</v>
      </c>
      <c r="B642" s="16" t="s">
        <v>462</v>
      </c>
      <c r="C642" s="16" t="s">
        <v>619</v>
      </c>
      <c r="D642" s="15" t="s">
        <v>477</v>
      </c>
      <c r="E642" s="16" t="s">
        <v>1133</v>
      </c>
      <c r="F642" s="15" t="n">
        <v>4</v>
      </c>
      <c r="G642" s="16" t="s">
        <v>17</v>
      </c>
      <c r="H642" s="15" t="s">
        <v>627</v>
      </c>
      <c r="I642" s="16" t="s">
        <v>1920</v>
      </c>
      <c r="J642" s="16" t="s">
        <v>1921</v>
      </c>
    </row>
    <row r="643" customFormat="false" ht="35.05" hidden="false" customHeight="false" outlineLevel="0" collapsed="false">
      <c r="A643" s="15" t="s">
        <v>433</v>
      </c>
      <c r="B643" s="16" t="s">
        <v>462</v>
      </c>
      <c r="C643" s="16" t="s">
        <v>619</v>
      </c>
      <c r="D643" s="15" t="s">
        <v>589</v>
      </c>
      <c r="E643" s="16" t="s">
        <v>1372</v>
      </c>
      <c r="F643" s="15" t="n">
        <v>1</v>
      </c>
      <c r="G643" s="16" t="s">
        <v>17</v>
      </c>
      <c r="H643" s="15" t="s">
        <v>621</v>
      </c>
      <c r="I643" s="16" t="s">
        <v>1909</v>
      </c>
      <c r="J643" s="16" t="s">
        <v>1922</v>
      </c>
    </row>
    <row r="644" customFormat="false" ht="35.05" hidden="false" customHeight="false" outlineLevel="0" collapsed="false">
      <c r="A644" s="15" t="s">
        <v>433</v>
      </c>
      <c r="B644" s="16" t="s">
        <v>462</v>
      </c>
      <c r="C644" s="16" t="s">
        <v>1923</v>
      </c>
      <c r="D644" s="15" t="s">
        <v>573</v>
      </c>
      <c r="E644" s="16" t="s">
        <v>923</v>
      </c>
      <c r="F644" s="15" t="n">
        <v>1</v>
      </c>
      <c r="G644" s="16" t="s">
        <v>17</v>
      </c>
      <c r="H644" s="15" t="s">
        <v>621</v>
      </c>
      <c r="I644" s="16" t="s">
        <v>1924</v>
      </c>
      <c r="J644" s="16" t="s">
        <v>1925</v>
      </c>
    </row>
    <row r="645" customFormat="false" ht="35.05" hidden="false" customHeight="false" outlineLevel="0" collapsed="false">
      <c r="A645" s="15" t="s">
        <v>433</v>
      </c>
      <c r="B645" s="16" t="s">
        <v>462</v>
      </c>
      <c r="C645" s="16" t="s">
        <v>1923</v>
      </c>
      <c r="D645" s="15" t="s">
        <v>584</v>
      </c>
      <c r="E645" s="16" t="s">
        <v>1131</v>
      </c>
      <c r="F645" s="15" t="n">
        <v>1</v>
      </c>
      <c r="G645" s="16" t="s">
        <v>17</v>
      </c>
      <c r="H645" s="15" t="s">
        <v>621</v>
      </c>
      <c r="I645" s="16" t="s">
        <v>1926</v>
      </c>
      <c r="J645" s="16" t="s">
        <v>1927</v>
      </c>
    </row>
    <row r="646" customFormat="false" ht="35.05" hidden="false" customHeight="false" outlineLevel="0" collapsed="false">
      <c r="A646" s="15" t="s">
        <v>433</v>
      </c>
      <c r="B646" s="16" t="s">
        <v>462</v>
      </c>
      <c r="C646" s="16" t="s">
        <v>1923</v>
      </c>
      <c r="D646" s="15" t="s">
        <v>477</v>
      </c>
      <c r="E646" s="16" t="s">
        <v>1133</v>
      </c>
      <c r="F646" s="15" t="n">
        <v>5</v>
      </c>
      <c r="G646" s="16" t="s">
        <v>17</v>
      </c>
      <c r="H646" s="15" t="s">
        <v>654</v>
      </c>
      <c r="I646" s="16" t="s">
        <v>1928</v>
      </c>
      <c r="J646" s="16" t="s">
        <v>1929</v>
      </c>
    </row>
    <row r="647" customFormat="false" ht="46.25" hidden="false" customHeight="false" outlineLevel="0" collapsed="false">
      <c r="A647" s="15" t="s">
        <v>433</v>
      </c>
      <c r="B647" s="16" t="s">
        <v>462</v>
      </c>
      <c r="C647" s="16" t="s">
        <v>1923</v>
      </c>
      <c r="D647" s="15" t="s">
        <v>467</v>
      </c>
      <c r="E647" s="16" t="s">
        <v>1201</v>
      </c>
      <c r="F647" s="15" t="n">
        <v>2</v>
      </c>
      <c r="G647" s="16" t="s">
        <v>17</v>
      </c>
      <c r="H647" s="15" t="s">
        <v>627</v>
      </c>
      <c r="I647" s="16" t="s">
        <v>1930</v>
      </c>
      <c r="J647" s="16" t="s">
        <v>1931</v>
      </c>
    </row>
    <row r="648" customFormat="false" ht="35.05" hidden="false" customHeight="false" outlineLevel="0" collapsed="false">
      <c r="A648" s="15" t="s">
        <v>433</v>
      </c>
      <c r="B648" s="16" t="s">
        <v>462</v>
      </c>
      <c r="C648" s="16" t="s">
        <v>1932</v>
      </c>
      <c r="D648" s="15" t="s">
        <v>573</v>
      </c>
      <c r="E648" s="16" t="s">
        <v>923</v>
      </c>
      <c r="F648" s="15" t="n">
        <v>7</v>
      </c>
      <c r="G648" s="16" t="s">
        <v>1933</v>
      </c>
      <c r="H648" s="15" t="s">
        <v>654</v>
      </c>
      <c r="I648" s="16" t="s">
        <v>1934</v>
      </c>
      <c r="J648" s="16" t="s">
        <v>1935</v>
      </c>
    </row>
    <row r="649" customFormat="false" ht="35.05" hidden="false" customHeight="false" outlineLevel="0" collapsed="false">
      <c r="A649" s="15" t="s">
        <v>433</v>
      </c>
      <c r="B649" s="16" t="s">
        <v>462</v>
      </c>
      <c r="C649" s="16" t="s">
        <v>1932</v>
      </c>
      <c r="D649" s="15" t="s">
        <v>578</v>
      </c>
      <c r="E649" s="16" t="s">
        <v>666</v>
      </c>
      <c r="F649" s="15" t="n">
        <v>2</v>
      </c>
      <c r="G649" s="16" t="s">
        <v>17</v>
      </c>
      <c r="H649" s="15" t="s">
        <v>627</v>
      </c>
      <c r="I649" s="16" t="s">
        <v>1934</v>
      </c>
      <c r="J649" s="16" t="s">
        <v>1936</v>
      </c>
    </row>
    <row r="650" customFormat="false" ht="35.05" hidden="false" customHeight="false" outlineLevel="0" collapsed="false">
      <c r="A650" s="15" t="s">
        <v>433</v>
      </c>
      <c r="B650" s="16" t="s">
        <v>468</v>
      </c>
      <c r="C650" s="16" t="s">
        <v>619</v>
      </c>
      <c r="D650" s="15" t="s">
        <v>469</v>
      </c>
      <c r="E650" s="16" t="s">
        <v>1183</v>
      </c>
      <c r="F650" s="15" t="n">
        <v>2</v>
      </c>
      <c r="G650" s="16" t="s">
        <v>17</v>
      </c>
      <c r="H650" s="15" t="s">
        <v>627</v>
      </c>
      <c r="I650" s="16" t="s">
        <v>1937</v>
      </c>
      <c r="J650" s="16" t="s">
        <v>1938</v>
      </c>
    </row>
    <row r="651" customFormat="false" ht="35.05" hidden="false" customHeight="false" outlineLevel="0" collapsed="false">
      <c r="A651" s="15" t="s">
        <v>433</v>
      </c>
      <c r="B651" s="16" t="s">
        <v>470</v>
      </c>
      <c r="C651" s="16" t="s">
        <v>619</v>
      </c>
      <c r="D651" s="15" t="s">
        <v>584</v>
      </c>
      <c r="E651" s="16" t="s">
        <v>1131</v>
      </c>
      <c r="F651" s="15" t="n">
        <v>3</v>
      </c>
      <c r="G651" s="16" t="s">
        <v>17</v>
      </c>
      <c r="H651" s="15" t="s">
        <v>627</v>
      </c>
      <c r="I651" s="16" t="s">
        <v>1939</v>
      </c>
      <c r="J651" s="16" t="s">
        <v>1940</v>
      </c>
    </row>
    <row r="652" customFormat="false" ht="46.25" hidden="false" customHeight="false" outlineLevel="0" collapsed="false">
      <c r="A652" s="15" t="s">
        <v>433</v>
      </c>
      <c r="B652" s="16" t="s">
        <v>470</v>
      </c>
      <c r="C652" s="16" t="s">
        <v>619</v>
      </c>
      <c r="D652" s="15" t="s">
        <v>473</v>
      </c>
      <c r="E652" s="16" t="s">
        <v>775</v>
      </c>
      <c r="F652" s="15" t="n">
        <v>38</v>
      </c>
      <c r="G652" s="16" t="s">
        <v>1941</v>
      </c>
      <c r="H652" s="15" t="s">
        <v>654</v>
      </c>
      <c r="I652" s="16" t="s">
        <v>1942</v>
      </c>
      <c r="J652" s="16" t="s">
        <v>1943</v>
      </c>
    </row>
    <row r="653" customFormat="false" ht="35.05" hidden="false" customHeight="false" outlineLevel="0" collapsed="false">
      <c r="A653" s="15" t="s">
        <v>433</v>
      </c>
      <c r="B653" s="16" t="s">
        <v>470</v>
      </c>
      <c r="C653" s="16" t="s">
        <v>619</v>
      </c>
      <c r="D653" s="15" t="s">
        <v>593</v>
      </c>
      <c r="E653" s="16" t="s">
        <v>1681</v>
      </c>
      <c r="F653" s="15" t="n">
        <v>1</v>
      </c>
      <c r="G653" s="16" t="s">
        <v>17</v>
      </c>
      <c r="H653" s="15" t="s">
        <v>621</v>
      </c>
      <c r="I653" s="16" t="s">
        <v>1944</v>
      </c>
      <c r="J653" s="16" t="s">
        <v>1945</v>
      </c>
    </row>
    <row r="654" customFormat="false" ht="35.05" hidden="false" customHeight="false" outlineLevel="0" collapsed="false">
      <c r="A654" s="15" t="s">
        <v>433</v>
      </c>
      <c r="B654" s="16" t="s">
        <v>470</v>
      </c>
      <c r="C654" s="16" t="s">
        <v>619</v>
      </c>
      <c r="D654" s="15" t="s">
        <v>596</v>
      </c>
      <c r="E654" s="16" t="s">
        <v>1321</v>
      </c>
      <c r="F654" s="15" t="n">
        <v>3</v>
      </c>
      <c r="G654" s="16" t="s">
        <v>17</v>
      </c>
      <c r="H654" s="15" t="s">
        <v>627</v>
      </c>
      <c r="I654" s="16" t="s">
        <v>1946</v>
      </c>
      <c r="J654" s="16" t="s">
        <v>1947</v>
      </c>
    </row>
    <row r="655" customFormat="false" ht="35.05" hidden="false" customHeight="false" outlineLevel="0" collapsed="false">
      <c r="A655" s="15" t="s">
        <v>433</v>
      </c>
      <c r="B655" s="16" t="s">
        <v>470</v>
      </c>
      <c r="C655" s="16" t="s">
        <v>619</v>
      </c>
      <c r="D655" s="15" t="s">
        <v>597</v>
      </c>
      <c r="E655" s="16" t="s">
        <v>1948</v>
      </c>
      <c r="F655" s="15" t="n">
        <v>1</v>
      </c>
      <c r="G655" s="16" t="s">
        <v>17</v>
      </c>
      <c r="H655" s="15" t="s">
        <v>621</v>
      </c>
      <c r="I655" s="16" t="s">
        <v>1949</v>
      </c>
      <c r="J655" s="16" t="s">
        <v>1950</v>
      </c>
    </row>
    <row r="656" customFormat="false" ht="35.05" hidden="false" customHeight="false" outlineLevel="0" collapsed="false">
      <c r="A656" s="15" t="s">
        <v>433</v>
      </c>
      <c r="B656" s="16" t="s">
        <v>470</v>
      </c>
      <c r="C656" s="16" t="s">
        <v>619</v>
      </c>
      <c r="D656" s="15" t="s">
        <v>166</v>
      </c>
      <c r="E656" s="16" t="s">
        <v>823</v>
      </c>
      <c r="F656" s="15" t="n">
        <v>1</v>
      </c>
      <c r="G656" s="16" t="s">
        <v>17</v>
      </c>
      <c r="H656" s="15" t="s">
        <v>621</v>
      </c>
      <c r="I656" s="16" t="s">
        <v>1951</v>
      </c>
      <c r="J656" s="16" t="s">
        <v>1952</v>
      </c>
    </row>
    <row r="657" customFormat="false" ht="35.05" hidden="false" customHeight="false" outlineLevel="0" collapsed="false">
      <c r="A657" s="15" t="s">
        <v>433</v>
      </c>
      <c r="B657" s="16" t="s">
        <v>470</v>
      </c>
      <c r="C657" s="16" t="s">
        <v>1953</v>
      </c>
      <c r="D657" s="15" t="s">
        <v>473</v>
      </c>
      <c r="E657" s="16" t="s">
        <v>775</v>
      </c>
      <c r="F657" s="15" t="n">
        <v>3</v>
      </c>
      <c r="G657" s="16" t="s">
        <v>17</v>
      </c>
      <c r="H657" s="15" t="s">
        <v>627</v>
      </c>
      <c r="I657" s="16" t="s">
        <v>1954</v>
      </c>
      <c r="J657" s="16" t="s">
        <v>1955</v>
      </c>
    </row>
    <row r="658" customFormat="false" ht="35.05" hidden="false" customHeight="false" outlineLevel="0" collapsed="false">
      <c r="A658" s="15" t="s">
        <v>433</v>
      </c>
      <c r="B658" s="16" t="s">
        <v>470</v>
      </c>
      <c r="C658" s="16" t="s">
        <v>1956</v>
      </c>
      <c r="D658" s="15" t="s">
        <v>473</v>
      </c>
      <c r="E658" s="16" t="s">
        <v>775</v>
      </c>
      <c r="F658" s="15" t="n">
        <v>2</v>
      </c>
      <c r="G658" s="16" t="s">
        <v>17</v>
      </c>
      <c r="H658" s="15" t="s">
        <v>627</v>
      </c>
      <c r="I658" s="16" t="s">
        <v>1957</v>
      </c>
      <c r="J658" s="16" t="s">
        <v>1958</v>
      </c>
    </row>
    <row r="659" customFormat="false" ht="35.05" hidden="false" customHeight="false" outlineLevel="0" collapsed="false">
      <c r="A659" s="15" t="s">
        <v>433</v>
      </c>
      <c r="B659" s="16" t="s">
        <v>470</v>
      </c>
      <c r="C659" s="16" t="s">
        <v>1959</v>
      </c>
      <c r="D659" s="15" t="s">
        <v>473</v>
      </c>
      <c r="E659" s="16" t="s">
        <v>775</v>
      </c>
      <c r="F659" s="15" t="n">
        <v>2</v>
      </c>
      <c r="G659" s="16" t="s">
        <v>17</v>
      </c>
      <c r="H659" s="15" t="s">
        <v>627</v>
      </c>
      <c r="I659" s="16" t="s">
        <v>1960</v>
      </c>
      <c r="J659" s="16" t="s">
        <v>1961</v>
      </c>
    </row>
    <row r="660" customFormat="false" ht="35.05" hidden="false" customHeight="false" outlineLevel="0" collapsed="false">
      <c r="A660" s="15" t="s">
        <v>433</v>
      </c>
      <c r="B660" s="16" t="s">
        <v>475</v>
      </c>
      <c r="C660" s="16" t="s">
        <v>619</v>
      </c>
      <c r="D660" s="15" t="s">
        <v>477</v>
      </c>
      <c r="E660" s="16" t="s">
        <v>1133</v>
      </c>
      <c r="F660" s="15" t="n">
        <v>1</v>
      </c>
      <c r="G660" s="16" t="s">
        <v>17</v>
      </c>
      <c r="H660" s="15" t="s">
        <v>621</v>
      </c>
      <c r="I660" s="16" t="s">
        <v>1962</v>
      </c>
      <c r="J660" s="16" t="s">
        <v>1963</v>
      </c>
    </row>
    <row r="661" customFormat="false" ht="35.05" hidden="false" customHeight="false" outlineLevel="0" collapsed="false">
      <c r="A661" s="15" t="s">
        <v>433</v>
      </c>
      <c r="B661" s="16" t="s">
        <v>478</v>
      </c>
      <c r="C661" s="16" t="s">
        <v>619</v>
      </c>
      <c r="D661" s="15" t="s">
        <v>582</v>
      </c>
      <c r="E661" s="16" t="s">
        <v>1911</v>
      </c>
      <c r="F661" s="15" t="n">
        <v>1</v>
      </c>
      <c r="G661" s="16" t="s">
        <v>17</v>
      </c>
      <c r="H661" s="15" t="s">
        <v>621</v>
      </c>
      <c r="I661" s="16" t="s">
        <v>1964</v>
      </c>
      <c r="J661" s="16" t="s">
        <v>1965</v>
      </c>
    </row>
    <row r="662" customFormat="false" ht="35.05" hidden="false" customHeight="false" outlineLevel="0" collapsed="false">
      <c r="A662" s="15" t="s">
        <v>433</v>
      </c>
      <c r="B662" s="16" t="s">
        <v>478</v>
      </c>
      <c r="C662" s="16" t="s">
        <v>619</v>
      </c>
      <c r="D662" s="15" t="s">
        <v>584</v>
      </c>
      <c r="E662" s="16" t="s">
        <v>1131</v>
      </c>
      <c r="F662" s="15" t="n">
        <v>9</v>
      </c>
      <c r="G662" s="16" t="s">
        <v>1966</v>
      </c>
      <c r="H662" s="15" t="s">
        <v>654</v>
      </c>
      <c r="I662" s="16" t="s">
        <v>1967</v>
      </c>
      <c r="J662" s="16" t="s">
        <v>1968</v>
      </c>
    </row>
    <row r="663" customFormat="false" ht="35.05" hidden="false" customHeight="false" outlineLevel="0" collapsed="false">
      <c r="A663" s="15" t="s">
        <v>433</v>
      </c>
      <c r="B663" s="16" t="s">
        <v>478</v>
      </c>
      <c r="C663" s="16" t="s">
        <v>619</v>
      </c>
      <c r="D663" s="15" t="s">
        <v>473</v>
      </c>
      <c r="E663" s="16" t="s">
        <v>775</v>
      </c>
      <c r="F663" s="15" t="n">
        <v>3</v>
      </c>
      <c r="G663" s="16" t="s">
        <v>17</v>
      </c>
      <c r="H663" s="15" t="s">
        <v>627</v>
      </c>
      <c r="I663" s="16" t="s">
        <v>1969</v>
      </c>
      <c r="J663" s="16" t="s">
        <v>1970</v>
      </c>
    </row>
    <row r="664" customFormat="false" ht="57.45" hidden="false" customHeight="false" outlineLevel="0" collapsed="false">
      <c r="A664" s="15" t="s">
        <v>433</v>
      </c>
      <c r="B664" s="16" t="s">
        <v>478</v>
      </c>
      <c r="C664" s="16" t="s">
        <v>619</v>
      </c>
      <c r="D664" s="15" t="s">
        <v>469</v>
      </c>
      <c r="E664" s="16" t="s">
        <v>1183</v>
      </c>
      <c r="F664" s="15" t="n">
        <v>27</v>
      </c>
      <c r="G664" s="16" t="s">
        <v>1971</v>
      </c>
      <c r="H664" s="15" t="s">
        <v>654</v>
      </c>
      <c r="I664" s="16" t="s">
        <v>1972</v>
      </c>
      <c r="J664" s="16" t="s">
        <v>1973</v>
      </c>
    </row>
    <row r="665" customFormat="false" ht="35.05" hidden="false" customHeight="false" outlineLevel="0" collapsed="false">
      <c r="A665" s="15" t="s">
        <v>433</v>
      </c>
      <c r="B665" s="16" t="s">
        <v>478</v>
      </c>
      <c r="C665" s="16" t="s">
        <v>619</v>
      </c>
      <c r="D665" s="15" t="s">
        <v>416</v>
      </c>
      <c r="E665" s="16" t="s">
        <v>1430</v>
      </c>
      <c r="F665" s="15" t="n">
        <v>1</v>
      </c>
      <c r="G665" s="16" t="s">
        <v>17</v>
      </c>
      <c r="H665" s="15" t="s">
        <v>621</v>
      </c>
      <c r="I665" s="16" t="s">
        <v>1974</v>
      </c>
      <c r="J665" s="16" t="s">
        <v>1975</v>
      </c>
    </row>
    <row r="666" customFormat="false" ht="57.45" hidden="false" customHeight="false" outlineLevel="0" collapsed="false">
      <c r="A666" s="15" t="s">
        <v>433</v>
      </c>
      <c r="B666" s="16" t="s">
        <v>478</v>
      </c>
      <c r="C666" s="16" t="s">
        <v>619</v>
      </c>
      <c r="D666" s="15" t="s">
        <v>586</v>
      </c>
      <c r="E666" s="16" t="s">
        <v>1644</v>
      </c>
      <c r="F666" s="15" t="n">
        <v>3</v>
      </c>
      <c r="G666" s="16" t="s">
        <v>17</v>
      </c>
      <c r="H666" s="15" t="s">
        <v>627</v>
      </c>
      <c r="I666" s="16" t="s">
        <v>1976</v>
      </c>
      <c r="J666" s="16" t="s">
        <v>1977</v>
      </c>
    </row>
    <row r="667" customFormat="false" ht="35.05" hidden="false" customHeight="false" outlineLevel="0" collapsed="false">
      <c r="A667" s="15" t="s">
        <v>433</v>
      </c>
      <c r="B667" s="16" t="s">
        <v>478</v>
      </c>
      <c r="C667" s="16" t="s">
        <v>619</v>
      </c>
      <c r="D667" s="15" t="s">
        <v>508</v>
      </c>
      <c r="E667" s="16" t="s">
        <v>831</v>
      </c>
      <c r="F667" s="15" t="n">
        <v>2</v>
      </c>
      <c r="G667" s="16" t="s">
        <v>17</v>
      </c>
      <c r="H667" s="15" t="s">
        <v>627</v>
      </c>
      <c r="I667" s="16" t="s">
        <v>1964</v>
      </c>
      <c r="J667" s="16" t="s">
        <v>1978</v>
      </c>
    </row>
    <row r="668" customFormat="false" ht="35.05" hidden="false" customHeight="false" outlineLevel="0" collapsed="false">
      <c r="A668" s="15" t="s">
        <v>433</v>
      </c>
      <c r="B668" s="16" t="s">
        <v>482</v>
      </c>
      <c r="C668" s="16" t="s">
        <v>619</v>
      </c>
      <c r="D668" s="15" t="s">
        <v>584</v>
      </c>
      <c r="E668" s="16" t="s">
        <v>1131</v>
      </c>
      <c r="F668" s="15" t="n">
        <v>1</v>
      </c>
      <c r="G668" s="16" t="s">
        <v>17</v>
      </c>
      <c r="H668" s="15" t="s">
        <v>621</v>
      </c>
      <c r="I668" s="16" t="s">
        <v>1979</v>
      </c>
      <c r="J668" s="16" t="s">
        <v>1980</v>
      </c>
    </row>
    <row r="669" customFormat="false" ht="35.05" hidden="false" customHeight="false" outlineLevel="0" collapsed="false">
      <c r="A669" s="15" t="s">
        <v>433</v>
      </c>
      <c r="B669" s="16" t="s">
        <v>482</v>
      </c>
      <c r="C669" s="16" t="s">
        <v>619</v>
      </c>
      <c r="D669" s="15" t="s">
        <v>469</v>
      </c>
      <c r="E669" s="16" t="s">
        <v>1183</v>
      </c>
      <c r="F669" s="15" t="n">
        <v>5</v>
      </c>
      <c r="G669" s="16" t="s">
        <v>17</v>
      </c>
      <c r="H669" s="15" t="s">
        <v>654</v>
      </c>
      <c r="I669" s="16" t="s">
        <v>1981</v>
      </c>
      <c r="J669" s="16" t="s">
        <v>1982</v>
      </c>
    </row>
    <row r="670" customFormat="false" ht="35.05" hidden="false" customHeight="false" outlineLevel="0" collapsed="false">
      <c r="A670" s="15" t="s">
        <v>433</v>
      </c>
      <c r="B670" s="16" t="s">
        <v>482</v>
      </c>
      <c r="C670" s="16" t="s">
        <v>619</v>
      </c>
      <c r="D670" s="15" t="s">
        <v>596</v>
      </c>
      <c r="E670" s="16" t="s">
        <v>1321</v>
      </c>
      <c r="F670" s="15" t="n">
        <v>1</v>
      </c>
      <c r="G670" s="16" t="s">
        <v>17</v>
      </c>
      <c r="H670" s="15" t="s">
        <v>621</v>
      </c>
      <c r="I670" s="16" t="s">
        <v>1983</v>
      </c>
      <c r="J670" s="16" t="s">
        <v>1984</v>
      </c>
    </row>
    <row r="671" customFormat="false" ht="46.25" hidden="false" customHeight="false" outlineLevel="0" collapsed="false">
      <c r="A671" s="15" t="s">
        <v>433</v>
      </c>
      <c r="B671" s="16" t="s">
        <v>485</v>
      </c>
      <c r="C671" s="16" t="s">
        <v>619</v>
      </c>
      <c r="D671" s="15" t="s">
        <v>584</v>
      </c>
      <c r="E671" s="16" t="s">
        <v>1131</v>
      </c>
      <c r="F671" s="15" t="n">
        <v>2</v>
      </c>
      <c r="G671" s="16" t="s">
        <v>17</v>
      </c>
      <c r="H671" s="15" t="s">
        <v>627</v>
      </c>
      <c r="I671" s="16" t="s">
        <v>1985</v>
      </c>
      <c r="J671" s="16" t="s">
        <v>1986</v>
      </c>
    </row>
    <row r="672" customFormat="false" ht="35.05" hidden="false" customHeight="false" outlineLevel="0" collapsed="false">
      <c r="A672" s="15" t="s">
        <v>433</v>
      </c>
      <c r="B672" s="16" t="s">
        <v>485</v>
      </c>
      <c r="C672" s="16" t="s">
        <v>619</v>
      </c>
      <c r="D672" s="15" t="s">
        <v>469</v>
      </c>
      <c r="E672" s="16" t="s">
        <v>1183</v>
      </c>
      <c r="F672" s="15" t="n">
        <v>8</v>
      </c>
      <c r="G672" s="16" t="s">
        <v>1987</v>
      </c>
      <c r="H672" s="15" t="s">
        <v>654</v>
      </c>
      <c r="I672" s="16" t="s">
        <v>1988</v>
      </c>
      <c r="J672" s="16" t="s">
        <v>1989</v>
      </c>
    </row>
    <row r="673" customFormat="false" ht="35.05" hidden="false" customHeight="false" outlineLevel="0" collapsed="false">
      <c r="A673" s="15" t="s">
        <v>487</v>
      </c>
      <c r="B673" s="16" t="s">
        <v>488</v>
      </c>
      <c r="C673" s="16" t="s">
        <v>619</v>
      </c>
      <c r="D673" s="15" t="s">
        <v>398</v>
      </c>
      <c r="E673" s="16" t="s">
        <v>641</v>
      </c>
      <c r="F673" s="15" t="n">
        <v>3</v>
      </c>
      <c r="G673" s="16" t="s">
        <v>17</v>
      </c>
      <c r="H673" s="15" t="s">
        <v>627</v>
      </c>
      <c r="I673" s="16" t="s">
        <v>1990</v>
      </c>
      <c r="J673" s="16" t="s">
        <v>1991</v>
      </c>
    </row>
    <row r="674" customFormat="false" ht="35.05" hidden="false" customHeight="false" outlineLevel="0" collapsed="false">
      <c r="A674" s="15" t="s">
        <v>487</v>
      </c>
      <c r="B674" s="16" t="s">
        <v>488</v>
      </c>
      <c r="C674" s="16" t="s">
        <v>619</v>
      </c>
      <c r="D674" s="15" t="s">
        <v>28</v>
      </c>
      <c r="E674" s="16" t="s">
        <v>652</v>
      </c>
      <c r="F674" s="15" t="n">
        <v>12</v>
      </c>
      <c r="G674" s="16" t="s">
        <v>17</v>
      </c>
      <c r="H674" s="15" t="s">
        <v>654</v>
      </c>
      <c r="I674" s="16" t="s">
        <v>1992</v>
      </c>
      <c r="J674" s="16" t="s">
        <v>1993</v>
      </c>
    </row>
    <row r="675" customFormat="false" ht="35.05" hidden="false" customHeight="false" outlineLevel="0" collapsed="false">
      <c r="A675" s="15" t="s">
        <v>487</v>
      </c>
      <c r="B675" s="16" t="s">
        <v>488</v>
      </c>
      <c r="C675" s="16" t="s">
        <v>619</v>
      </c>
      <c r="D675" s="15" t="s">
        <v>580</v>
      </c>
      <c r="E675" s="16" t="s">
        <v>1177</v>
      </c>
      <c r="F675" s="15" t="n">
        <v>3</v>
      </c>
      <c r="G675" s="16" t="s">
        <v>17</v>
      </c>
      <c r="H675" s="15" t="s">
        <v>627</v>
      </c>
      <c r="I675" s="16" t="s">
        <v>1994</v>
      </c>
      <c r="J675" s="16" t="s">
        <v>1995</v>
      </c>
    </row>
    <row r="676" customFormat="false" ht="68.65" hidden="false" customHeight="false" outlineLevel="0" collapsed="false">
      <c r="A676" s="15" t="s">
        <v>487</v>
      </c>
      <c r="B676" s="16" t="s">
        <v>488</v>
      </c>
      <c r="C676" s="16" t="s">
        <v>619</v>
      </c>
      <c r="D676" s="15" t="s">
        <v>499</v>
      </c>
      <c r="E676" s="16" t="s">
        <v>1893</v>
      </c>
      <c r="F676" s="15" t="n">
        <v>43</v>
      </c>
      <c r="G676" s="16" t="s">
        <v>1996</v>
      </c>
      <c r="H676" s="15" t="s">
        <v>654</v>
      </c>
      <c r="I676" s="16" t="s">
        <v>1990</v>
      </c>
      <c r="J676" s="16" t="s">
        <v>1997</v>
      </c>
    </row>
    <row r="677" customFormat="false" ht="35.05" hidden="false" customHeight="false" outlineLevel="0" collapsed="false">
      <c r="A677" s="15" t="s">
        <v>487</v>
      </c>
      <c r="B677" s="16" t="s">
        <v>492</v>
      </c>
      <c r="C677" s="16" t="s">
        <v>619</v>
      </c>
      <c r="D677" s="15" t="s">
        <v>196</v>
      </c>
      <c r="E677" s="16" t="s">
        <v>624</v>
      </c>
      <c r="F677" s="15" t="n">
        <v>1</v>
      </c>
      <c r="G677" s="16" t="s">
        <v>17</v>
      </c>
      <c r="H677" s="15" t="s">
        <v>621</v>
      </c>
      <c r="I677" s="16" t="s">
        <v>492</v>
      </c>
      <c r="J677" s="16" t="s">
        <v>1998</v>
      </c>
    </row>
    <row r="678" customFormat="false" ht="35.05" hidden="false" customHeight="false" outlineLevel="0" collapsed="false">
      <c r="A678" s="15" t="s">
        <v>487</v>
      </c>
      <c r="B678" s="16" t="s">
        <v>492</v>
      </c>
      <c r="C678" s="16" t="s">
        <v>619</v>
      </c>
      <c r="D678" s="15" t="s">
        <v>580</v>
      </c>
      <c r="E678" s="16" t="s">
        <v>1177</v>
      </c>
      <c r="F678" s="15" t="n">
        <v>9</v>
      </c>
      <c r="G678" s="16" t="s">
        <v>17</v>
      </c>
      <c r="H678" s="15" t="s">
        <v>654</v>
      </c>
      <c r="I678" s="16" t="s">
        <v>1999</v>
      </c>
      <c r="J678" s="16" t="s">
        <v>2000</v>
      </c>
    </row>
    <row r="679" customFormat="false" ht="35.05" hidden="false" customHeight="false" outlineLevel="0" collapsed="false">
      <c r="A679" s="15" t="s">
        <v>487</v>
      </c>
      <c r="B679" s="16" t="s">
        <v>492</v>
      </c>
      <c r="C679" s="16" t="s">
        <v>619</v>
      </c>
      <c r="D679" s="15" t="s">
        <v>581</v>
      </c>
      <c r="E679" s="16" t="s">
        <v>1459</v>
      </c>
      <c r="F679" s="15" t="n">
        <v>1</v>
      </c>
      <c r="G679" s="16" t="s">
        <v>17</v>
      </c>
      <c r="H679" s="15" t="s">
        <v>621</v>
      </c>
      <c r="I679" s="16" t="s">
        <v>492</v>
      </c>
      <c r="J679" s="16" t="s">
        <v>2001</v>
      </c>
    </row>
    <row r="680" customFormat="false" ht="35.05" hidden="false" customHeight="false" outlineLevel="0" collapsed="false">
      <c r="A680" s="15" t="s">
        <v>487</v>
      </c>
      <c r="B680" s="16" t="s">
        <v>492</v>
      </c>
      <c r="C680" s="16" t="s">
        <v>619</v>
      </c>
      <c r="D680" s="15" t="s">
        <v>583</v>
      </c>
      <c r="E680" s="16" t="s">
        <v>669</v>
      </c>
      <c r="F680" s="15" t="n">
        <v>1</v>
      </c>
      <c r="G680" s="16" t="s">
        <v>17</v>
      </c>
      <c r="H680" s="15" t="s">
        <v>621</v>
      </c>
      <c r="I680" s="16" t="s">
        <v>492</v>
      </c>
      <c r="J680" s="16" t="s">
        <v>2002</v>
      </c>
    </row>
    <row r="681" customFormat="false" ht="35.05" hidden="false" customHeight="false" outlineLevel="0" collapsed="false">
      <c r="A681" s="15" t="s">
        <v>487</v>
      </c>
      <c r="B681" s="16" t="s">
        <v>492</v>
      </c>
      <c r="C681" s="16" t="s">
        <v>619</v>
      </c>
      <c r="D681" s="15" t="s">
        <v>451</v>
      </c>
      <c r="E681" s="16" t="s">
        <v>672</v>
      </c>
      <c r="F681" s="15" t="n">
        <v>1</v>
      </c>
      <c r="G681" s="16" t="s">
        <v>17</v>
      </c>
      <c r="H681" s="15" t="s">
        <v>621</v>
      </c>
      <c r="I681" s="16" t="s">
        <v>492</v>
      </c>
      <c r="J681" s="16" t="s">
        <v>2003</v>
      </c>
    </row>
    <row r="682" customFormat="false" ht="35.05" hidden="false" customHeight="false" outlineLevel="0" collapsed="false">
      <c r="A682" s="15" t="s">
        <v>487</v>
      </c>
      <c r="B682" s="16" t="s">
        <v>492</v>
      </c>
      <c r="C682" s="16" t="s">
        <v>619</v>
      </c>
      <c r="D682" s="15" t="s">
        <v>499</v>
      </c>
      <c r="E682" s="16" t="s">
        <v>1893</v>
      </c>
      <c r="F682" s="15" t="n">
        <v>46</v>
      </c>
      <c r="G682" s="16" t="s">
        <v>2004</v>
      </c>
      <c r="H682" s="15" t="s">
        <v>654</v>
      </c>
      <c r="I682" s="16" t="s">
        <v>492</v>
      </c>
      <c r="J682" s="16" t="s">
        <v>2005</v>
      </c>
    </row>
    <row r="683" customFormat="false" ht="35.05" hidden="false" customHeight="false" outlineLevel="0" collapsed="false">
      <c r="A683" s="15" t="s">
        <v>487</v>
      </c>
      <c r="B683" s="16" t="s">
        <v>496</v>
      </c>
      <c r="C683" s="16" t="s">
        <v>619</v>
      </c>
      <c r="D683" s="15" t="s">
        <v>580</v>
      </c>
      <c r="E683" s="16" t="s">
        <v>1177</v>
      </c>
      <c r="F683" s="15" t="n">
        <v>2</v>
      </c>
      <c r="G683" s="16" t="s">
        <v>17</v>
      </c>
      <c r="H683" s="15" t="s">
        <v>627</v>
      </c>
      <c r="I683" s="16" t="s">
        <v>2006</v>
      </c>
      <c r="J683" s="16" t="s">
        <v>2007</v>
      </c>
    </row>
    <row r="684" customFormat="false" ht="35.05" hidden="false" customHeight="false" outlineLevel="0" collapsed="false">
      <c r="A684" s="15" t="s">
        <v>487</v>
      </c>
      <c r="B684" s="16" t="s">
        <v>496</v>
      </c>
      <c r="C684" s="16" t="s">
        <v>619</v>
      </c>
      <c r="D684" s="15" t="s">
        <v>583</v>
      </c>
      <c r="E684" s="16" t="s">
        <v>669</v>
      </c>
      <c r="F684" s="15" t="n">
        <v>1</v>
      </c>
      <c r="G684" s="16" t="s">
        <v>17</v>
      </c>
      <c r="H684" s="15" t="s">
        <v>621</v>
      </c>
      <c r="I684" s="16" t="s">
        <v>2008</v>
      </c>
      <c r="J684" s="16" t="s">
        <v>2009</v>
      </c>
    </row>
    <row r="685" customFormat="false" ht="35.05" hidden="false" customHeight="false" outlineLevel="0" collapsed="false">
      <c r="A685" s="15" t="s">
        <v>487</v>
      </c>
      <c r="B685" s="16" t="s">
        <v>496</v>
      </c>
      <c r="C685" s="16" t="s">
        <v>619</v>
      </c>
      <c r="D685" s="15" t="s">
        <v>451</v>
      </c>
      <c r="E685" s="16" t="s">
        <v>672</v>
      </c>
      <c r="F685" s="15" t="n">
        <v>1</v>
      </c>
      <c r="G685" s="16" t="s">
        <v>17</v>
      </c>
      <c r="H685" s="15" t="s">
        <v>621</v>
      </c>
      <c r="I685" s="16" t="s">
        <v>2008</v>
      </c>
      <c r="J685" s="16" t="s">
        <v>2010</v>
      </c>
    </row>
    <row r="686" customFormat="false" ht="35.05" hidden="false" customHeight="false" outlineLevel="0" collapsed="false">
      <c r="A686" s="15" t="s">
        <v>487</v>
      </c>
      <c r="B686" s="16" t="s">
        <v>496</v>
      </c>
      <c r="C686" s="16" t="s">
        <v>619</v>
      </c>
      <c r="D686" s="15" t="s">
        <v>499</v>
      </c>
      <c r="E686" s="16" t="s">
        <v>1893</v>
      </c>
      <c r="F686" s="15" t="n">
        <v>32</v>
      </c>
      <c r="G686" s="16" t="s">
        <v>2011</v>
      </c>
      <c r="H686" s="15" t="s">
        <v>654</v>
      </c>
      <c r="I686" s="16" t="s">
        <v>2008</v>
      </c>
      <c r="J686" s="16" t="s">
        <v>2012</v>
      </c>
    </row>
    <row r="687" customFormat="false" ht="35.05" hidden="false" customHeight="false" outlineLevel="0" collapsed="false">
      <c r="A687" s="15" t="s">
        <v>487</v>
      </c>
      <c r="B687" s="16" t="s">
        <v>496</v>
      </c>
      <c r="C687" s="16" t="s">
        <v>500</v>
      </c>
      <c r="D687" s="15" t="s">
        <v>499</v>
      </c>
      <c r="E687" s="16" t="s">
        <v>1893</v>
      </c>
      <c r="F687" s="15" t="n">
        <v>1</v>
      </c>
      <c r="G687" s="16" t="s">
        <v>17</v>
      </c>
      <c r="H687" s="15" t="s">
        <v>621</v>
      </c>
      <c r="I687" s="16" t="s">
        <v>2013</v>
      </c>
      <c r="J687" s="16" t="s">
        <v>2014</v>
      </c>
    </row>
    <row r="688" customFormat="false" ht="35.05" hidden="false" customHeight="false" outlineLevel="0" collapsed="false">
      <c r="A688" s="15" t="s">
        <v>487</v>
      </c>
      <c r="B688" s="16" t="s">
        <v>501</v>
      </c>
      <c r="C688" s="16" t="s">
        <v>619</v>
      </c>
      <c r="D688" s="15" t="s">
        <v>580</v>
      </c>
      <c r="E688" s="16" t="s">
        <v>1177</v>
      </c>
      <c r="F688" s="15" t="n">
        <v>2</v>
      </c>
      <c r="G688" s="16" t="s">
        <v>17</v>
      </c>
      <c r="H688" s="15" t="s">
        <v>627</v>
      </c>
      <c r="I688" s="16" t="s">
        <v>2015</v>
      </c>
      <c r="J688" s="16" t="s">
        <v>2016</v>
      </c>
    </row>
    <row r="689" customFormat="false" ht="35.05" hidden="false" customHeight="false" outlineLevel="0" collapsed="false">
      <c r="A689" s="15" t="s">
        <v>487</v>
      </c>
      <c r="B689" s="16" t="s">
        <v>501</v>
      </c>
      <c r="C689" s="16" t="s">
        <v>619</v>
      </c>
      <c r="D689" s="15" t="s">
        <v>581</v>
      </c>
      <c r="E689" s="16" t="s">
        <v>1459</v>
      </c>
      <c r="F689" s="15" t="n">
        <v>1</v>
      </c>
      <c r="G689" s="16" t="s">
        <v>17</v>
      </c>
      <c r="H689" s="15" t="s">
        <v>621</v>
      </c>
      <c r="I689" s="16" t="s">
        <v>2017</v>
      </c>
      <c r="J689" s="16" t="s">
        <v>2018</v>
      </c>
    </row>
    <row r="690" customFormat="false" ht="35.05" hidden="false" customHeight="false" outlineLevel="0" collapsed="false">
      <c r="A690" s="15" t="s">
        <v>487</v>
      </c>
      <c r="B690" s="16" t="s">
        <v>501</v>
      </c>
      <c r="C690" s="16" t="s">
        <v>619</v>
      </c>
      <c r="D690" s="15" t="s">
        <v>504</v>
      </c>
      <c r="E690" s="16" t="s">
        <v>1316</v>
      </c>
      <c r="F690" s="15" t="n">
        <v>12</v>
      </c>
      <c r="G690" s="16" t="s">
        <v>17</v>
      </c>
      <c r="H690" s="15" t="s">
        <v>654</v>
      </c>
      <c r="I690" s="16" t="s">
        <v>2015</v>
      </c>
      <c r="J690" s="16" t="s">
        <v>2019</v>
      </c>
    </row>
    <row r="691" customFormat="false" ht="35.05" hidden="false" customHeight="false" outlineLevel="0" collapsed="false">
      <c r="A691" s="15" t="s">
        <v>487</v>
      </c>
      <c r="B691" s="16" t="s">
        <v>501</v>
      </c>
      <c r="C691" s="16" t="s">
        <v>619</v>
      </c>
      <c r="D691" s="15" t="s">
        <v>508</v>
      </c>
      <c r="E691" s="16" t="s">
        <v>831</v>
      </c>
      <c r="F691" s="15" t="n">
        <v>2</v>
      </c>
      <c r="G691" s="16" t="s">
        <v>17</v>
      </c>
      <c r="H691" s="15" t="s">
        <v>627</v>
      </c>
      <c r="I691" s="16" t="s">
        <v>2020</v>
      </c>
      <c r="J691" s="16" t="s">
        <v>2021</v>
      </c>
    </row>
    <row r="692" customFormat="false" ht="35.05" hidden="false" customHeight="false" outlineLevel="0" collapsed="false">
      <c r="A692" s="15" t="s">
        <v>487</v>
      </c>
      <c r="B692" s="16" t="s">
        <v>501</v>
      </c>
      <c r="C692" s="16" t="s">
        <v>505</v>
      </c>
      <c r="D692" s="15" t="s">
        <v>581</v>
      </c>
      <c r="E692" s="16" t="s">
        <v>1459</v>
      </c>
      <c r="F692" s="15" t="n">
        <v>1</v>
      </c>
      <c r="G692" s="16" t="s">
        <v>17</v>
      </c>
      <c r="H692" s="15" t="s">
        <v>621</v>
      </c>
      <c r="I692" s="16" t="s">
        <v>2022</v>
      </c>
      <c r="J692" s="16" t="s">
        <v>2023</v>
      </c>
    </row>
    <row r="693" customFormat="false" ht="35.05" hidden="false" customHeight="false" outlineLevel="0" collapsed="false">
      <c r="A693" s="15" t="s">
        <v>487</v>
      </c>
      <c r="B693" s="16" t="s">
        <v>506</v>
      </c>
      <c r="C693" s="16" t="s">
        <v>619</v>
      </c>
      <c r="D693" s="15" t="s">
        <v>508</v>
      </c>
      <c r="E693" s="16" t="s">
        <v>831</v>
      </c>
      <c r="F693" s="15" t="n">
        <v>2</v>
      </c>
      <c r="G693" s="16" t="s">
        <v>17</v>
      </c>
      <c r="H693" s="15" t="s">
        <v>627</v>
      </c>
      <c r="I693" s="16" t="s">
        <v>2024</v>
      </c>
      <c r="J693" s="16" t="s">
        <v>2025</v>
      </c>
    </row>
    <row r="694" customFormat="false" ht="35.05" hidden="false" customHeight="false" outlineLevel="0" collapsed="false">
      <c r="A694" s="15" t="s">
        <v>487</v>
      </c>
      <c r="B694" s="16" t="s">
        <v>509</v>
      </c>
      <c r="C694" s="16" t="s">
        <v>619</v>
      </c>
      <c r="D694" s="15" t="s">
        <v>580</v>
      </c>
      <c r="E694" s="16" t="s">
        <v>1177</v>
      </c>
      <c r="F694" s="15" t="n">
        <v>2</v>
      </c>
      <c r="G694" s="16" t="s">
        <v>17</v>
      </c>
      <c r="H694" s="15" t="s">
        <v>627</v>
      </c>
      <c r="I694" s="16" t="s">
        <v>2026</v>
      </c>
      <c r="J694" s="16" t="s">
        <v>2027</v>
      </c>
    </row>
    <row r="695" customFormat="false" ht="35.05" hidden="false" customHeight="false" outlineLevel="0" collapsed="false">
      <c r="A695" s="15" t="s">
        <v>487</v>
      </c>
      <c r="B695" s="16" t="s">
        <v>509</v>
      </c>
      <c r="C695" s="16" t="s">
        <v>619</v>
      </c>
      <c r="D695" s="15" t="s">
        <v>581</v>
      </c>
      <c r="E695" s="16" t="s">
        <v>1459</v>
      </c>
      <c r="F695" s="15" t="n">
        <v>1</v>
      </c>
      <c r="G695" s="16" t="s">
        <v>17</v>
      </c>
      <c r="H695" s="15" t="s">
        <v>621</v>
      </c>
      <c r="I695" s="16" t="s">
        <v>2028</v>
      </c>
      <c r="J695" s="16" t="s">
        <v>2029</v>
      </c>
    </row>
    <row r="696" customFormat="false" ht="35.05" hidden="false" customHeight="false" outlineLevel="0" collapsed="false">
      <c r="A696" s="15" t="s">
        <v>487</v>
      </c>
      <c r="B696" s="16" t="s">
        <v>509</v>
      </c>
      <c r="C696" s="16" t="s">
        <v>512</v>
      </c>
      <c r="D696" s="15" t="s">
        <v>499</v>
      </c>
      <c r="E696" s="16" t="s">
        <v>1893</v>
      </c>
      <c r="F696" s="15" t="n">
        <v>2</v>
      </c>
      <c r="G696" s="16" t="s">
        <v>17</v>
      </c>
      <c r="H696" s="15" t="s">
        <v>627</v>
      </c>
      <c r="I696" s="16" t="s">
        <v>2030</v>
      </c>
      <c r="J696" s="16" t="s">
        <v>2031</v>
      </c>
    </row>
    <row r="697" customFormat="false" ht="35.05" hidden="false" customHeight="false" outlineLevel="0" collapsed="false">
      <c r="A697" s="15" t="s">
        <v>487</v>
      </c>
      <c r="B697" s="16" t="s">
        <v>513</v>
      </c>
      <c r="C697" s="16" t="s">
        <v>619</v>
      </c>
      <c r="D697" s="15" t="s">
        <v>561</v>
      </c>
      <c r="E697" s="16" t="s">
        <v>634</v>
      </c>
      <c r="F697" s="15" t="n">
        <v>1</v>
      </c>
      <c r="G697" s="16" t="s">
        <v>17</v>
      </c>
      <c r="H697" s="15" t="s">
        <v>621</v>
      </c>
      <c r="I697" s="16" t="s">
        <v>2032</v>
      </c>
      <c r="J697" s="16" t="s">
        <v>2033</v>
      </c>
    </row>
    <row r="698" customFormat="false" ht="35.05" hidden="false" customHeight="false" outlineLevel="0" collapsed="false">
      <c r="A698" s="15" t="s">
        <v>487</v>
      </c>
      <c r="B698" s="16" t="s">
        <v>513</v>
      </c>
      <c r="C698" s="16" t="s">
        <v>619</v>
      </c>
      <c r="D698" s="15" t="s">
        <v>196</v>
      </c>
      <c r="E698" s="16" t="s">
        <v>624</v>
      </c>
      <c r="F698" s="15" t="n">
        <v>1</v>
      </c>
      <c r="G698" s="16" t="s">
        <v>17</v>
      </c>
      <c r="H698" s="15" t="s">
        <v>621</v>
      </c>
      <c r="I698" s="16" t="s">
        <v>2034</v>
      </c>
      <c r="J698" s="16" t="s">
        <v>2035</v>
      </c>
    </row>
    <row r="699" customFormat="false" ht="35.05" hidden="false" customHeight="false" outlineLevel="0" collapsed="false">
      <c r="A699" s="15" t="s">
        <v>487</v>
      </c>
      <c r="B699" s="16" t="s">
        <v>513</v>
      </c>
      <c r="C699" s="16" t="s">
        <v>619</v>
      </c>
      <c r="D699" s="15" t="s">
        <v>576</v>
      </c>
      <c r="E699" s="16" t="s">
        <v>953</v>
      </c>
      <c r="F699" s="15" t="n">
        <v>1</v>
      </c>
      <c r="G699" s="16" t="s">
        <v>17</v>
      </c>
      <c r="H699" s="15" t="s">
        <v>621</v>
      </c>
      <c r="I699" s="16" t="s">
        <v>2036</v>
      </c>
      <c r="J699" s="16" t="s">
        <v>2037</v>
      </c>
    </row>
    <row r="700" customFormat="false" ht="35.05" hidden="false" customHeight="false" outlineLevel="0" collapsed="false">
      <c r="A700" s="15" t="s">
        <v>487</v>
      </c>
      <c r="B700" s="16" t="s">
        <v>513</v>
      </c>
      <c r="C700" s="16" t="s">
        <v>619</v>
      </c>
      <c r="D700" s="15" t="s">
        <v>580</v>
      </c>
      <c r="E700" s="16" t="s">
        <v>1177</v>
      </c>
      <c r="F700" s="15" t="n">
        <v>1</v>
      </c>
      <c r="G700" s="16" t="s">
        <v>17</v>
      </c>
      <c r="H700" s="15" t="s">
        <v>621</v>
      </c>
      <c r="I700" s="16" t="s">
        <v>2038</v>
      </c>
      <c r="J700" s="16" t="s">
        <v>2039</v>
      </c>
    </row>
    <row r="701" customFormat="false" ht="35.05" hidden="false" customHeight="false" outlineLevel="0" collapsed="false">
      <c r="A701" s="15" t="s">
        <v>487</v>
      </c>
      <c r="B701" s="16" t="s">
        <v>513</v>
      </c>
      <c r="C701" s="16" t="s">
        <v>619</v>
      </c>
      <c r="D701" s="15" t="s">
        <v>268</v>
      </c>
      <c r="E701" s="16" t="s">
        <v>821</v>
      </c>
      <c r="F701" s="15" t="n">
        <v>21</v>
      </c>
      <c r="G701" s="16" t="s">
        <v>2040</v>
      </c>
      <c r="H701" s="15" t="s">
        <v>654</v>
      </c>
      <c r="I701" s="16" t="s">
        <v>2041</v>
      </c>
      <c r="J701" s="16" t="s">
        <v>2042</v>
      </c>
    </row>
    <row r="702" customFormat="false" ht="35.05" hidden="false" customHeight="false" outlineLevel="0" collapsed="false">
      <c r="A702" s="15" t="s">
        <v>487</v>
      </c>
      <c r="B702" s="16" t="s">
        <v>513</v>
      </c>
      <c r="C702" s="16" t="s">
        <v>619</v>
      </c>
      <c r="D702" s="15" t="s">
        <v>508</v>
      </c>
      <c r="E702" s="16" t="s">
        <v>831</v>
      </c>
      <c r="F702" s="15" t="n">
        <v>1</v>
      </c>
      <c r="G702" s="16" t="s">
        <v>17</v>
      </c>
      <c r="H702" s="15" t="s">
        <v>621</v>
      </c>
      <c r="I702" s="16" t="s">
        <v>2032</v>
      </c>
      <c r="J702" s="16" t="s">
        <v>2043</v>
      </c>
    </row>
    <row r="703" customFormat="false" ht="35.05" hidden="false" customHeight="false" outlineLevel="0" collapsed="false">
      <c r="A703" s="15" t="s">
        <v>487</v>
      </c>
      <c r="B703" s="16" t="s">
        <v>513</v>
      </c>
      <c r="C703" s="16" t="s">
        <v>619</v>
      </c>
      <c r="D703" s="15" t="s">
        <v>587</v>
      </c>
      <c r="E703" s="16" t="s">
        <v>833</v>
      </c>
      <c r="F703" s="15" t="n">
        <v>1</v>
      </c>
      <c r="G703" s="16" t="s">
        <v>17</v>
      </c>
      <c r="H703" s="15" t="s">
        <v>621</v>
      </c>
      <c r="I703" s="16" t="s">
        <v>2032</v>
      </c>
      <c r="J703" s="16" t="s">
        <v>2044</v>
      </c>
    </row>
    <row r="704" customFormat="false" ht="35.05" hidden="false" customHeight="false" outlineLevel="0" collapsed="false">
      <c r="A704" s="15" t="s">
        <v>487</v>
      </c>
      <c r="B704" s="16" t="s">
        <v>513</v>
      </c>
      <c r="C704" s="16" t="s">
        <v>516</v>
      </c>
      <c r="D704" s="15" t="s">
        <v>268</v>
      </c>
      <c r="E704" s="16" t="s">
        <v>821</v>
      </c>
      <c r="F704" s="15" t="n">
        <v>3</v>
      </c>
      <c r="G704" s="16" t="s">
        <v>17</v>
      </c>
      <c r="H704" s="15" t="s">
        <v>627</v>
      </c>
      <c r="I704" s="16" t="s">
        <v>2045</v>
      </c>
      <c r="J704" s="16" t="s">
        <v>2046</v>
      </c>
    </row>
    <row r="705" customFormat="false" ht="35.05" hidden="false" customHeight="false" outlineLevel="0" collapsed="false">
      <c r="A705" s="15" t="s">
        <v>487</v>
      </c>
      <c r="B705" s="16" t="s">
        <v>517</v>
      </c>
      <c r="C705" s="16" t="s">
        <v>619</v>
      </c>
      <c r="D705" s="15" t="s">
        <v>227</v>
      </c>
      <c r="E705" s="16" t="s">
        <v>819</v>
      </c>
      <c r="F705" s="15" t="n">
        <v>3</v>
      </c>
      <c r="G705" s="16" t="s">
        <v>2047</v>
      </c>
      <c r="H705" s="15" t="s">
        <v>654</v>
      </c>
      <c r="I705" s="16" t="s">
        <v>2048</v>
      </c>
      <c r="J705" s="16" t="s">
        <v>2049</v>
      </c>
    </row>
    <row r="706" customFormat="false" ht="35.05" hidden="false" customHeight="false" outlineLevel="0" collapsed="false">
      <c r="A706" s="15" t="s">
        <v>487</v>
      </c>
      <c r="B706" s="16" t="s">
        <v>517</v>
      </c>
      <c r="C706" s="16" t="s">
        <v>619</v>
      </c>
      <c r="D706" s="15" t="s">
        <v>268</v>
      </c>
      <c r="E706" s="16" t="s">
        <v>821</v>
      </c>
      <c r="F706" s="15" t="n">
        <v>3</v>
      </c>
      <c r="G706" s="16" t="s">
        <v>17</v>
      </c>
      <c r="H706" s="15" t="s">
        <v>627</v>
      </c>
      <c r="I706" s="16" t="s">
        <v>2050</v>
      </c>
      <c r="J706" s="16" t="s">
        <v>2051</v>
      </c>
    </row>
    <row r="707" customFormat="false" ht="35.05" hidden="false" customHeight="false" outlineLevel="0" collapsed="false">
      <c r="A707" s="15" t="s">
        <v>487</v>
      </c>
      <c r="B707" s="16" t="s">
        <v>520</v>
      </c>
      <c r="C707" s="16" t="s">
        <v>619</v>
      </c>
      <c r="D707" s="15" t="s">
        <v>508</v>
      </c>
      <c r="E707" s="16" t="s">
        <v>831</v>
      </c>
      <c r="F707" s="15" t="n">
        <v>1</v>
      </c>
      <c r="G707" s="16" t="s">
        <v>17</v>
      </c>
      <c r="H707" s="15" t="s">
        <v>621</v>
      </c>
      <c r="I707" s="16" t="s">
        <v>2052</v>
      </c>
      <c r="J707" s="16" t="s">
        <v>2053</v>
      </c>
    </row>
    <row r="708" customFormat="false" ht="35.05" hidden="false" customHeight="false" outlineLevel="0" collapsed="false">
      <c r="A708" s="15" t="s">
        <v>487</v>
      </c>
      <c r="B708" s="16" t="s">
        <v>520</v>
      </c>
      <c r="C708" s="16" t="s">
        <v>619</v>
      </c>
      <c r="D708" s="15" t="s">
        <v>587</v>
      </c>
      <c r="E708" s="16" t="s">
        <v>833</v>
      </c>
      <c r="F708" s="15" t="n">
        <v>1</v>
      </c>
      <c r="G708" s="16" t="s">
        <v>17</v>
      </c>
      <c r="H708" s="15" t="s">
        <v>621</v>
      </c>
      <c r="I708" s="16" t="s">
        <v>2052</v>
      </c>
      <c r="J708" s="16" t="s">
        <v>2053</v>
      </c>
    </row>
    <row r="709" customFormat="false" ht="35.05" hidden="false" customHeight="false" outlineLevel="0" collapsed="false">
      <c r="A709" s="15" t="s">
        <v>487</v>
      </c>
      <c r="B709" s="16" t="s">
        <v>522</v>
      </c>
      <c r="C709" s="16" t="s">
        <v>524</v>
      </c>
      <c r="D709" s="15" t="s">
        <v>42</v>
      </c>
      <c r="E709" s="16" t="s">
        <v>701</v>
      </c>
      <c r="F709" s="15" t="n">
        <v>1</v>
      </c>
      <c r="G709" s="16" t="s">
        <v>17</v>
      </c>
      <c r="H709" s="15" t="s">
        <v>621</v>
      </c>
      <c r="I709" s="16" t="s">
        <v>2054</v>
      </c>
      <c r="J709" s="16" t="s">
        <v>2055</v>
      </c>
    </row>
    <row r="710" customFormat="false" ht="46.25" hidden="false" customHeight="false" outlineLevel="0" collapsed="false">
      <c r="A710" s="15" t="s">
        <v>487</v>
      </c>
      <c r="B710" s="16" t="s">
        <v>522</v>
      </c>
      <c r="C710" s="16" t="s">
        <v>524</v>
      </c>
      <c r="D710" s="15" t="s">
        <v>467</v>
      </c>
      <c r="E710" s="16" t="s">
        <v>1201</v>
      </c>
      <c r="F710" s="15" t="n">
        <v>2</v>
      </c>
      <c r="G710" s="16" t="s">
        <v>17</v>
      </c>
      <c r="H710" s="15" t="s">
        <v>627</v>
      </c>
      <c r="I710" s="16" t="s">
        <v>2056</v>
      </c>
      <c r="J710" s="16" t="s">
        <v>2057</v>
      </c>
    </row>
    <row r="711" customFormat="false" ht="35.05" hidden="false" customHeight="false" outlineLevel="0" collapsed="false">
      <c r="A711" s="15" t="s">
        <v>487</v>
      </c>
      <c r="B711" s="16" t="s">
        <v>525</v>
      </c>
      <c r="C711" s="16" t="s">
        <v>619</v>
      </c>
      <c r="D711" s="15" t="s">
        <v>508</v>
      </c>
      <c r="E711" s="16" t="s">
        <v>831</v>
      </c>
      <c r="F711" s="15" t="n">
        <v>7</v>
      </c>
      <c r="G711" s="16" t="s">
        <v>17</v>
      </c>
      <c r="H711" s="15" t="s">
        <v>654</v>
      </c>
      <c r="I711" s="16" t="s">
        <v>2058</v>
      </c>
      <c r="J711" s="16" t="s">
        <v>2059</v>
      </c>
    </row>
    <row r="712" customFormat="false" ht="35.05" hidden="false" customHeight="false" outlineLevel="0" collapsed="false">
      <c r="A712" s="15" t="s">
        <v>487</v>
      </c>
      <c r="B712" s="16" t="s">
        <v>525</v>
      </c>
      <c r="C712" s="16" t="s">
        <v>619</v>
      </c>
      <c r="D712" s="15" t="s">
        <v>587</v>
      </c>
      <c r="E712" s="16" t="s">
        <v>833</v>
      </c>
      <c r="F712" s="15" t="n">
        <v>2</v>
      </c>
      <c r="G712" s="16" t="s">
        <v>17</v>
      </c>
      <c r="H712" s="15" t="s">
        <v>627</v>
      </c>
      <c r="I712" s="16" t="s">
        <v>2060</v>
      </c>
      <c r="J712" s="16" t="s">
        <v>2061</v>
      </c>
    </row>
    <row r="713" customFormat="false" ht="35.05" hidden="false" customHeight="false" outlineLevel="0" collapsed="false">
      <c r="A713" s="15" t="s">
        <v>487</v>
      </c>
      <c r="B713" s="16" t="s">
        <v>525</v>
      </c>
      <c r="C713" s="16" t="s">
        <v>527</v>
      </c>
      <c r="D713" s="15" t="s">
        <v>508</v>
      </c>
      <c r="E713" s="16" t="s">
        <v>831</v>
      </c>
      <c r="F713" s="15" t="n">
        <v>1</v>
      </c>
      <c r="G713" s="16" t="s">
        <v>17</v>
      </c>
      <c r="H713" s="15" t="s">
        <v>621</v>
      </c>
      <c r="I713" s="16" t="s">
        <v>2062</v>
      </c>
      <c r="J713" s="16" t="s">
        <v>2063</v>
      </c>
    </row>
    <row r="714" customFormat="false" ht="35.05" hidden="false" customHeight="false" outlineLevel="0" collapsed="false">
      <c r="A714" s="15" t="s">
        <v>487</v>
      </c>
      <c r="B714" s="16" t="s">
        <v>528</v>
      </c>
      <c r="C714" s="16" t="s">
        <v>619</v>
      </c>
      <c r="D714" s="15" t="s">
        <v>220</v>
      </c>
      <c r="E714" s="16" t="s">
        <v>646</v>
      </c>
      <c r="F714" s="15" t="n">
        <v>3</v>
      </c>
      <c r="G714" s="16" t="s">
        <v>17</v>
      </c>
      <c r="H714" s="15" t="s">
        <v>627</v>
      </c>
      <c r="I714" s="16" t="s">
        <v>2064</v>
      </c>
      <c r="J714" s="16" t="s">
        <v>2065</v>
      </c>
    </row>
    <row r="715" customFormat="false" ht="35.05" hidden="false" customHeight="false" outlineLevel="0" collapsed="false">
      <c r="A715" s="15" t="s">
        <v>487</v>
      </c>
      <c r="B715" s="16" t="s">
        <v>528</v>
      </c>
      <c r="C715" s="16" t="s">
        <v>619</v>
      </c>
      <c r="D715" s="15" t="s">
        <v>508</v>
      </c>
      <c r="E715" s="16" t="s">
        <v>831</v>
      </c>
      <c r="F715" s="15" t="n">
        <v>1</v>
      </c>
      <c r="G715" s="16" t="s">
        <v>17</v>
      </c>
      <c r="H715" s="15" t="s">
        <v>621</v>
      </c>
      <c r="I715" s="16" t="s">
        <v>2066</v>
      </c>
      <c r="J715" s="16" t="s">
        <v>2067</v>
      </c>
    </row>
    <row r="716" customFormat="false" ht="35.05" hidden="false" customHeight="false" outlineLevel="0" collapsed="false">
      <c r="A716" s="15" t="s">
        <v>487</v>
      </c>
      <c r="B716" s="16" t="s">
        <v>531</v>
      </c>
      <c r="C716" s="16" t="s">
        <v>619</v>
      </c>
      <c r="D716" s="15" t="s">
        <v>398</v>
      </c>
      <c r="E716" s="16" t="s">
        <v>641</v>
      </c>
      <c r="F716" s="15" t="n">
        <v>1</v>
      </c>
      <c r="G716" s="16" t="s">
        <v>17</v>
      </c>
      <c r="H716" s="15" t="s">
        <v>621</v>
      </c>
      <c r="I716" s="16" t="s">
        <v>2068</v>
      </c>
      <c r="J716" s="16" t="s">
        <v>2069</v>
      </c>
    </row>
    <row r="717" customFormat="false" ht="35.05" hidden="false" customHeight="false" outlineLevel="0" collapsed="false">
      <c r="A717" s="15" t="s">
        <v>487</v>
      </c>
      <c r="B717" s="16" t="s">
        <v>531</v>
      </c>
      <c r="C717" s="16" t="s">
        <v>619</v>
      </c>
      <c r="D717" s="15" t="s">
        <v>562</v>
      </c>
      <c r="E717" s="16" t="s">
        <v>716</v>
      </c>
      <c r="F717" s="15" t="n">
        <v>14</v>
      </c>
      <c r="G717" s="16" t="s">
        <v>17</v>
      </c>
      <c r="H717" s="15" t="s">
        <v>654</v>
      </c>
      <c r="I717" s="16" t="s">
        <v>2070</v>
      </c>
      <c r="J717" s="16" t="s">
        <v>2071</v>
      </c>
    </row>
    <row r="718" customFormat="false" ht="35.05" hidden="false" customHeight="false" outlineLevel="0" collapsed="false">
      <c r="A718" s="15" t="s">
        <v>487</v>
      </c>
      <c r="B718" s="16" t="s">
        <v>531</v>
      </c>
      <c r="C718" s="16" t="s">
        <v>619</v>
      </c>
      <c r="D718" s="15" t="s">
        <v>578</v>
      </c>
      <c r="E718" s="16" t="s">
        <v>666</v>
      </c>
      <c r="F718" s="15" t="n">
        <v>3</v>
      </c>
      <c r="G718" s="16" t="s">
        <v>17</v>
      </c>
      <c r="H718" s="15" t="s">
        <v>627</v>
      </c>
      <c r="I718" s="16" t="s">
        <v>2070</v>
      </c>
      <c r="J718" s="16" t="s">
        <v>2072</v>
      </c>
    </row>
    <row r="719" customFormat="false" ht="35.05" hidden="false" customHeight="false" outlineLevel="0" collapsed="false">
      <c r="A719" s="15" t="s">
        <v>487</v>
      </c>
      <c r="B719" s="16" t="s">
        <v>531</v>
      </c>
      <c r="C719" s="16" t="s">
        <v>619</v>
      </c>
      <c r="D719" s="15" t="s">
        <v>469</v>
      </c>
      <c r="E719" s="16" t="s">
        <v>1183</v>
      </c>
      <c r="F719" s="15" t="n">
        <v>1</v>
      </c>
      <c r="G719" s="16" t="s">
        <v>17</v>
      </c>
      <c r="H719" s="15" t="s">
        <v>621</v>
      </c>
      <c r="I719" s="16" t="s">
        <v>2068</v>
      </c>
      <c r="J719" s="16" t="s">
        <v>2073</v>
      </c>
    </row>
    <row r="720" customFormat="false" ht="35.05" hidden="false" customHeight="false" outlineLevel="0" collapsed="false">
      <c r="A720" s="15" t="s">
        <v>487</v>
      </c>
      <c r="B720" s="16" t="s">
        <v>531</v>
      </c>
      <c r="C720" s="16" t="s">
        <v>619</v>
      </c>
      <c r="D720" s="15" t="s">
        <v>508</v>
      </c>
      <c r="E720" s="16" t="s">
        <v>831</v>
      </c>
      <c r="F720" s="15" t="n">
        <v>50</v>
      </c>
      <c r="G720" s="16" t="s">
        <v>2074</v>
      </c>
      <c r="H720" s="15" t="s">
        <v>654</v>
      </c>
      <c r="I720" s="16" t="s">
        <v>2068</v>
      </c>
      <c r="J720" s="16" t="s">
        <v>2075</v>
      </c>
    </row>
    <row r="721" customFormat="false" ht="35.05" hidden="false" customHeight="false" outlineLevel="0" collapsed="false">
      <c r="A721" s="15" t="s">
        <v>487</v>
      </c>
      <c r="B721" s="16" t="s">
        <v>531</v>
      </c>
      <c r="C721" s="16" t="s">
        <v>619</v>
      </c>
      <c r="D721" s="15" t="s">
        <v>587</v>
      </c>
      <c r="E721" s="16" t="s">
        <v>833</v>
      </c>
      <c r="F721" s="15" t="n">
        <v>2</v>
      </c>
      <c r="G721" s="16" t="s">
        <v>17</v>
      </c>
      <c r="H721" s="15" t="s">
        <v>627</v>
      </c>
      <c r="I721" s="16" t="s">
        <v>2068</v>
      </c>
      <c r="J721" s="16" t="s">
        <v>2076</v>
      </c>
    </row>
    <row r="722" customFormat="false" ht="35.05" hidden="false" customHeight="false" outlineLevel="0" collapsed="false">
      <c r="A722" s="15" t="s">
        <v>535</v>
      </c>
      <c r="B722" s="16" t="s">
        <v>536</v>
      </c>
      <c r="C722" s="16" t="s">
        <v>619</v>
      </c>
      <c r="D722" s="15" t="s">
        <v>538</v>
      </c>
      <c r="E722" s="16" t="s">
        <v>1318</v>
      </c>
      <c r="F722" s="15" t="n">
        <v>24</v>
      </c>
      <c r="G722" s="16" t="s">
        <v>2077</v>
      </c>
      <c r="H722" s="15" t="s">
        <v>654</v>
      </c>
      <c r="I722" s="16" t="s">
        <v>536</v>
      </c>
      <c r="J722" s="16" t="s">
        <v>2078</v>
      </c>
    </row>
    <row r="723" customFormat="false" ht="35.05" hidden="false" customHeight="false" outlineLevel="0" collapsed="false">
      <c r="A723" s="15" t="s">
        <v>535</v>
      </c>
      <c r="B723" s="16" t="s">
        <v>536</v>
      </c>
      <c r="C723" s="16" t="s">
        <v>2079</v>
      </c>
      <c r="D723" s="15" t="s">
        <v>538</v>
      </c>
      <c r="E723" s="16" t="s">
        <v>1318</v>
      </c>
      <c r="F723" s="15" t="n">
        <v>2</v>
      </c>
      <c r="G723" s="16" t="s">
        <v>17</v>
      </c>
      <c r="H723" s="15" t="s">
        <v>627</v>
      </c>
      <c r="I723" s="16" t="s">
        <v>2080</v>
      </c>
      <c r="J723" s="16" t="s">
        <v>2081</v>
      </c>
    </row>
    <row r="724" customFormat="false" ht="35.05" hidden="false" customHeight="false" outlineLevel="0" collapsed="false">
      <c r="A724" s="15" t="s">
        <v>535</v>
      </c>
      <c r="B724" s="16" t="s">
        <v>536</v>
      </c>
      <c r="C724" s="16" t="s">
        <v>2082</v>
      </c>
      <c r="D724" s="15" t="s">
        <v>538</v>
      </c>
      <c r="E724" s="16" t="s">
        <v>1318</v>
      </c>
      <c r="F724" s="15" t="n">
        <v>9</v>
      </c>
      <c r="G724" s="16" t="s">
        <v>17</v>
      </c>
      <c r="H724" s="15" t="s">
        <v>654</v>
      </c>
      <c r="I724" s="16" t="s">
        <v>2083</v>
      </c>
      <c r="J724" s="16" t="s">
        <v>2084</v>
      </c>
    </row>
    <row r="725" customFormat="false" ht="35.05" hidden="false" customHeight="false" outlineLevel="0" collapsed="false">
      <c r="A725" s="15" t="s">
        <v>535</v>
      </c>
      <c r="B725" s="16" t="s">
        <v>540</v>
      </c>
      <c r="C725" s="16" t="s">
        <v>619</v>
      </c>
      <c r="D725" s="15" t="s">
        <v>538</v>
      </c>
      <c r="E725" s="16" t="s">
        <v>1318</v>
      </c>
      <c r="F725" s="15" t="n">
        <v>2</v>
      </c>
      <c r="G725" s="16" t="s">
        <v>17</v>
      </c>
      <c r="H725" s="15" t="s">
        <v>627</v>
      </c>
      <c r="I725" s="16" t="s">
        <v>540</v>
      </c>
      <c r="J725" s="16" t="s">
        <v>2085</v>
      </c>
    </row>
    <row r="726" customFormat="false" ht="35.05" hidden="false" customHeight="false" outlineLevel="0" collapsed="false">
      <c r="A726" s="15" t="s">
        <v>125</v>
      </c>
      <c r="B726" s="16" t="s">
        <v>542</v>
      </c>
      <c r="C726" s="16" t="s">
        <v>619</v>
      </c>
      <c r="D726" s="15" t="s">
        <v>155</v>
      </c>
      <c r="E726" s="16" t="s">
        <v>851</v>
      </c>
      <c r="F726" s="15" t="n">
        <v>4</v>
      </c>
      <c r="G726" s="16" t="s">
        <v>17</v>
      </c>
      <c r="H726" s="15" t="s">
        <v>627</v>
      </c>
      <c r="I726" s="16" t="s">
        <v>2086</v>
      </c>
      <c r="J726" s="16" t="s">
        <v>2087</v>
      </c>
    </row>
    <row r="727" customFormat="false" ht="35.05" hidden="false" customHeight="false" outlineLevel="0" collapsed="false">
      <c r="A727" s="15" t="s">
        <v>125</v>
      </c>
      <c r="B727" s="16" t="s">
        <v>542</v>
      </c>
      <c r="C727" s="16" t="s">
        <v>619</v>
      </c>
      <c r="D727" s="15" t="s">
        <v>148</v>
      </c>
      <c r="E727" s="16" t="s">
        <v>955</v>
      </c>
      <c r="F727" s="15" t="n">
        <v>4</v>
      </c>
      <c r="G727" s="16" t="s">
        <v>17</v>
      </c>
      <c r="H727" s="15" t="s">
        <v>627</v>
      </c>
      <c r="I727" s="16" t="s">
        <v>2088</v>
      </c>
      <c r="J727" s="16" t="s">
        <v>2089</v>
      </c>
    </row>
    <row r="728" customFormat="false" ht="35.05" hidden="false" customHeight="false" outlineLevel="0" collapsed="false">
      <c r="A728" s="15" t="s">
        <v>125</v>
      </c>
      <c r="B728" s="16" t="s">
        <v>542</v>
      </c>
      <c r="C728" s="16" t="s">
        <v>619</v>
      </c>
      <c r="D728" s="15" t="s">
        <v>599</v>
      </c>
      <c r="E728" s="16" t="s">
        <v>854</v>
      </c>
      <c r="F728" s="15" t="n">
        <v>1</v>
      </c>
      <c r="G728" s="16" t="s">
        <v>17</v>
      </c>
      <c r="H728" s="15" t="s">
        <v>621</v>
      </c>
      <c r="I728" s="16" t="s">
        <v>2090</v>
      </c>
      <c r="J728" s="16" t="s">
        <v>2091</v>
      </c>
    </row>
    <row r="729" customFormat="false" ht="158.2" hidden="false" customHeight="false" outlineLevel="0" collapsed="false">
      <c r="A729" s="15" t="s">
        <v>189</v>
      </c>
      <c r="B729" s="16" t="s">
        <v>545</v>
      </c>
      <c r="C729" s="16" t="s">
        <v>619</v>
      </c>
      <c r="D729" s="15" t="s">
        <v>294</v>
      </c>
      <c r="E729" s="16" t="s">
        <v>640</v>
      </c>
      <c r="F729" s="15" t="n">
        <v>5</v>
      </c>
      <c r="G729" s="16" t="s">
        <v>17</v>
      </c>
      <c r="H729" s="15" t="s">
        <v>654</v>
      </c>
      <c r="I729" s="16" t="s">
        <v>2092</v>
      </c>
      <c r="J729" s="16" t="s">
        <v>2093</v>
      </c>
    </row>
    <row r="730" customFormat="false" ht="57.45" hidden="false" customHeight="false" outlineLevel="0" collapsed="false">
      <c r="A730" s="15" t="s">
        <v>316</v>
      </c>
      <c r="B730" s="16" t="s">
        <v>547</v>
      </c>
      <c r="C730" s="16" t="s">
        <v>619</v>
      </c>
      <c r="D730" s="15" t="s">
        <v>550</v>
      </c>
      <c r="E730" s="16" t="s">
        <v>1224</v>
      </c>
      <c r="F730" s="15" t="n">
        <v>7</v>
      </c>
      <c r="G730" s="16" t="s">
        <v>2094</v>
      </c>
      <c r="H730" s="15" t="s">
        <v>654</v>
      </c>
      <c r="I730" s="16" t="s">
        <v>2095</v>
      </c>
      <c r="J730" s="16" t="s">
        <v>2096</v>
      </c>
    </row>
    <row r="731" customFormat="false" ht="35.05" hidden="false" customHeight="false" outlineLevel="0" collapsed="false">
      <c r="A731" s="15" t="s">
        <v>316</v>
      </c>
      <c r="B731" s="16" t="s">
        <v>547</v>
      </c>
      <c r="C731" s="16" t="s">
        <v>619</v>
      </c>
      <c r="D731" s="15" t="s">
        <v>227</v>
      </c>
      <c r="E731" s="16" t="s">
        <v>819</v>
      </c>
      <c r="F731" s="15" t="n">
        <v>1</v>
      </c>
      <c r="G731" s="16" t="s">
        <v>17</v>
      </c>
      <c r="H731" s="15" t="s">
        <v>621</v>
      </c>
      <c r="I731" s="16" t="s">
        <v>2097</v>
      </c>
      <c r="J731" s="16" t="s">
        <v>2098</v>
      </c>
    </row>
    <row r="732" customFormat="false" ht="35.05" hidden="false" customHeight="false" outlineLevel="0" collapsed="false">
      <c r="A732" s="15" t="s">
        <v>433</v>
      </c>
      <c r="B732" s="16" t="s">
        <v>551</v>
      </c>
      <c r="C732" s="16" t="s">
        <v>619</v>
      </c>
      <c r="D732" s="15" t="s">
        <v>442</v>
      </c>
      <c r="E732" s="16" t="s">
        <v>1833</v>
      </c>
      <c r="F732" s="15" t="n">
        <v>6</v>
      </c>
      <c r="G732" s="16" t="s">
        <v>2099</v>
      </c>
      <c r="H732" s="15" t="s">
        <v>654</v>
      </c>
      <c r="I732" s="16" t="s">
        <v>2100</v>
      </c>
      <c r="J732" s="16" t="s">
        <v>2101</v>
      </c>
    </row>
    <row r="733" customFormat="false" ht="35.05" hidden="false" customHeight="false" outlineLevel="0" collapsed="false">
      <c r="A733" s="15" t="s">
        <v>433</v>
      </c>
      <c r="B733" s="16" t="s">
        <v>553</v>
      </c>
      <c r="C733" s="16" t="s">
        <v>619</v>
      </c>
      <c r="D733" s="15" t="s">
        <v>582</v>
      </c>
      <c r="E733" s="16" t="s">
        <v>1911</v>
      </c>
      <c r="F733" s="15" t="n">
        <v>1</v>
      </c>
      <c r="G733" s="16" t="s">
        <v>17</v>
      </c>
      <c r="H733" s="15" t="s">
        <v>621</v>
      </c>
      <c r="I733" s="16" t="s">
        <v>2102</v>
      </c>
      <c r="J733" s="16" t="s">
        <v>2103</v>
      </c>
    </row>
    <row r="734" customFormat="false" ht="35.05" hidden="false" customHeight="false" outlineLevel="0" collapsed="false">
      <c r="A734" s="15" t="s">
        <v>433</v>
      </c>
      <c r="B734" s="16" t="s">
        <v>553</v>
      </c>
      <c r="C734" s="16" t="s">
        <v>619</v>
      </c>
      <c r="D734" s="15" t="s">
        <v>235</v>
      </c>
      <c r="E734" s="16" t="s">
        <v>1204</v>
      </c>
      <c r="F734" s="15" t="n">
        <v>4</v>
      </c>
      <c r="G734" s="16" t="s">
        <v>2104</v>
      </c>
      <c r="H734" s="15" t="s">
        <v>654</v>
      </c>
      <c r="I734" s="16" t="s">
        <v>2105</v>
      </c>
      <c r="J734" s="16" t="s">
        <v>2106</v>
      </c>
    </row>
    <row r="735" customFormat="false" ht="35.05" hidden="false" customHeight="false" outlineLevel="0" collapsed="false">
      <c r="A735" s="15" t="s">
        <v>433</v>
      </c>
      <c r="B735" s="16" t="s">
        <v>553</v>
      </c>
      <c r="C735" s="16" t="s">
        <v>619</v>
      </c>
      <c r="D735" s="15" t="s">
        <v>584</v>
      </c>
      <c r="E735" s="16" t="s">
        <v>1131</v>
      </c>
      <c r="F735" s="15" t="n">
        <v>1</v>
      </c>
      <c r="G735" s="16" t="s">
        <v>2107</v>
      </c>
      <c r="H735" s="15" t="s">
        <v>654</v>
      </c>
      <c r="I735" s="16" t="s">
        <v>2108</v>
      </c>
      <c r="J735" s="16" t="s">
        <v>2109</v>
      </c>
    </row>
    <row r="736" customFormat="false" ht="35.05" hidden="false" customHeight="false" outlineLevel="0" collapsed="false">
      <c r="A736" s="15" t="s">
        <v>433</v>
      </c>
      <c r="B736" s="16" t="s">
        <v>553</v>
      </c>
      <c r="C736" s="16" t="s">
        <v>619</v>
      </c>
      <c r="D736" s="15" t="s">
        <v>589</v>
      </c>
      <c r="E736" s="16" t="s">
        <v>1372</v>
      </c>
      <c r="F736" s="15" t="n">
        <v>2</v>
      </c>
      <c r="G736" s="16" t="s">
        <v>17</v>
      </c>
      <c r="H736" s="15" t="s">
        <v>627</v>
      </c>
      <c r="I736" s="16" t="s">
        <v>2102</v>
      </c>
      <c r="J736" s="16" t="s">
        <v>2110</v>
      </c>
    </row>
    <row r="737" customFormat="false" ht="35.05" hidden="false" customHeight="false" outlineLevel="0" collapsed="false">
      <c r="A737" s="15" t="s">
        <v>433</v>
      </c>
      <c r="B737" s="16" t="s">
        <v>557</v>
      </c>
      <c r="C737" s="16" t="s">
        <v>619</v>
      </c>
      <c r="D737" s="15" t="s">
        <v>573</v>
      </c>
      <c r="E737" s="16" t="s">
        <v>923</v>
      </c>
      <c r="F737" s="15" t="n">
        <v>1</v>
      </c>
      <c r="G737" s="16" t="s">
        <v>17</v>
      </c>
      <c r="H737" s="15" t="s">
        <v>621</v>
      </c>
      <c r="I737" s="16" t="s">
        <v>2111</v>
      </c>
      <c r="J737" s="16" t="s">
        <v>2112</v>
      </c>
    </row>
    <row r="738" customFormat="false" ht="79.85" hidden="false" customHeight="false" outlineLevel="0" collapsed="false">
      <c r="A738" s="15" t="s">
        <v>433</v>
      </c>
      <c r="B738" s="16" t="s">
        <v>557</v>
      </c>
      <c r="C738" s="16" t="s">
        <v>619</v>
      </c>
      <c r="D738" s="15" t="s">
        <v>583</v>
      </c>
      <c r="E738" s="16" t="s">
        <v>669</v>
      </c>
      <c r="F738" s="15" t="n">
        <v>4</v>
      </c>
      <c r="G738" s="16" t="s">
        <v>17</v>
      </c>
      <c r="H738" s="15" t="s">
        <v>627</v>
      </c>
      <c r="I738" s="16" t="s">
        <v>2113</v>
      </c>
      <c r="J738" s="16" t="s">
        <v>2114</v>
      </c>
    </row>
    <row r="739" customFormat="false" ht="113.4" hidden="false" customHeight="false" outlineLevel="0" collapsed="false">
      <c r="A739" s="15" t="s">
        <v>433</v>
      </c>
      <c r="B739" s="16" t="s">
        <v>557</v>
      </c>
      <c r="C739" s="16" t="s">
        <v>619</v>
      </c>
      <c r="D739" s="15" t="s">
        <v>451</v>
      </c>
      <c r="E739" s="16" t="s">
        <v>672</v>
      </c>
      <c r="F739" s="15" t="n">
        <v>5</v>
      </c>
      <c r="G739" s="16" t="s">
        <v>17</v>
      </c>
      <c r="H739" s="15" t="s">
        <v>654</v>
      </c>
      <c r="I739" s="16" t="s">
        <v>2115</v>
      </c>
      <c r="J739" s="16" t="s">
        <v>2116</v>
      </c>
    </row>
    <row r="740" customFormat="false" ht="35.05" hidden="false" customHeight="false" outlineLevel="0" collapsed="false">
      <c r="A740" s="15" t="s">
        <v>433</v>
      </c>
      <c r="B740" s="16" t="s">
        <v>557</v>
      </c>
      <c r="C740" s="16" t="s">
        <v>560</v>
      </c>
      <c r="D740" s="15" t="s">
        <v>583</v>
      </c>
      <c r="E740" s="16" t="s">
        <v>669</v>
      </c>
      <c r="F740" s="15" t="n">
        <v>3</v>
      </c>
      <c r="G740" s="16" t="s">
        <v>17</v>
      </c>
      <c r="H740" s="15" t="s">
        <v>627</v>
      </c>
      <c r="I740" s="16" t="s">
        <v>2117</v>
      </c>
      <c r="J740" s="16" t="s">
        <v>2118</v>
      </c>
    </row>
    <row r="741" customFormat="false" ht="35.05" hidden="false" customHeight="false" outlineLevel="0" collapsed="false">
      <c r="A741" s="15" t="s">
        <v>433</v>
      </c>
      <c r="B741" s="16" t="s">
        <v>557</v>
      </c>
      <c r="C741" s="16" t="s">
        <v>560</v>
      </c>
      <c r="D741" s="15" t="s">
        <v>451</v>
      </c>
      <c r="E741" s="16" t="s">
        <v>672</v>
      </c>
      <c r="F741" s="15" t="n">
        <v>3</v>
      </c>
      <c r="G741" s="16" t="s">
        <v>2119</v>
      </c>
      <c r="H741" s="15" t="s">
        <v>654</v>
      </c>
      <c r="I741" s="16" t="s">
        <v>2117</v>
      </c>
      <c r="J741" s="16" t="s">
        <v>2120</v>
      </c>
    </row>
    <row r="742" customFormat="false" ht="35.05" hidden="false" customHeight="false" outlineLevel="0" collapsed="false">
      <c r="A742" s="15" t="s">
        <v>433</v>
      </c>
      <c r="B742" s="16" t="s">
        <v>557</v>
      </c>
      <c r="C742" s="16" t="s">
        <v>560</v>
      </c>
      <c r="D742" s="15" t="s">
        <v>473</v>
      </c>
      <c r="E742" s="16" t="s">
        <v>775</v>
      </c>
      <c r="F742" s="15" t="n">
        <v>2</v>
      </c>
      <c r="G742" s="16" t="s">
        <v>17</v>
      </c>
      <c r="H742" s="15" t="s">
        <v>627</v>
      </c>
      <c r="I742" s="16" t="s">
        <v>2121</v>
      </c>
      <c r="J742" s="16" t="s">
        <v>2122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8"/>
    <col collapsed="false" customWidth="true" hidden="false" outlineLevel="0" max="3" min="3" style="0" width="11"/>
    <col collapsed="false" customWidth="true" hidden="false" outlineLevel="0" max="4" min="4" style="0" width="90"/>
    <col collapsed="false" customWidth="true" hidden="false" outlineLevel="0" max="5" min="5" style="0" width="34"/>
  </cols>
  <sheetData>
    <row r="1" customFormat="false" ht="15" hidden="false" customHeight="false" outlineLevel="0" collapsed="false">
      <c r="A1" s="17" t="s">
        <v>2123</v>
      </c>
      <c r="B1" s="17" t="s">
        <v>2124</v>
      </c>
      <c r="C1" s="17" t="s">
        <v>2125</v>
      </c>
      <c r="D1" s="17" t="s">
        <v>2126</v>
      </c>
      <c r="E1" s="17" t="s">
        <v>2127</v>
      </c>
    </row>
    <row r="2" customFormat="false" ht="68.65" hidden="false" customHeight="false" outlineLevel="0" collapsed="false">
      <c r="A2" s="16" t="s">
        <v>398</v>
      </c>
      <c r="B2" s="16" t="s">
        <v>641</v>
      </c>
      <c r="C2" s="16" t="n">
        <f aca="false">COUNTA(Matriz!D2:D141)</f>
        <v>21</v>
      </c>
      <c r="D2" s="16" t="s">
        <v>2128</v>
      </c>
      <c r="E2" s="16"/>
    </row>
    <row r="3" customFormat="false" ht="23.85" hidden="false" customHeight="false" outlineLevel="0" collapsed="false">
      <c r="A3" s="16" t="s">
        <v>20</v>
      </c>
      <c r="B3" s="16" t="s">
        <v>620</v>
      </c>
      <c r="C3" s="16" t="n">
        <f aca="false">COUNTA(Matriz!E2:E141)</f>
        <v>5</v>
      </c>
      <c r="D3" s="16" t="s">
        <v>2129</v>
      </c>
      <c r="E3" s="16"/>
    </row>
    <row r="4" customFormat="false" ht="23.85" hidden="false" customHeight="false" outlineLevel="0" collapsed="false">
      <c r="A4" s="16" t="s">
        <v>561</v>
      </c>
      <c r="B4" s="16" t="s">
        <v>634</v>
      </c>
      <c r="C4" s="16" t="n">
        <f aca="false">COUNTA(Matriz!F2:F141)</f>
        <v>4</v>
      </c>
      <c r="D4" s="16" t="s">
        <v>2130</v>
      </c>
      <c r="E4" s="16"/>
    </row>
    <row r="5" customFormat="false" ht="35.05" hidden="false" customHeight="false" outlineLevel="0" collapsed="false">
      <c r="A5" s="16" t="s">
        <v>562</v>
      </c>
      <c r="B5" s="16" t="s">
        <v>716</v>
      </c>
      <c r="C5" s="16" t="n">
        <f aca="false">COUNTA(Matriz!G2:G141)</f>
        <v>12</v>
      </c>
      <c r="D5" s="16" t="s">
        <v>2131</v>
      </c>
      <c r="E5" s="16"/>
    </row>
    <row r="6" customFormat="false" ht="35.05" hidden="false" customHeight="false" outlineLevel="0" collapsed="false">
      <c r="A6" s="16" t="s">
        <v>196</v>
      </c>
      <c r="B6" s="16" t="s">
        <v>624</v>
      </c>
      <c r="C6" s="16" t="n">
        <f aca="false">COUNTA(Matriz!H2:H141)</f>
        <v>14</v>
      </c>
      <c r="D6" s="16" t="s">
        <v>2132</v>
      </c>
      <c r="E6" s="16"/>
    </row>
    <row r="7" customFormat="false" ht="57.45" hidden="false" customHeight="false" outlineLevel="0" collapsed="false">
      <c r="A7" s="16" t="s">
        <v>42</v>
      </c>
      <c r="B7" s="16" t="s">
        <v>701</v>
      </c>
      <c r="C7" s="16" t="n">
        <f aca="false">COUNTA(Matriz!I2:I141)</f>
        <v>18</v>
      </c>
      <c r="D7" s="16" t="s">
        <v>2133</v>
      </c>
      <c r="E7" s="16"/>
    </row>
    <row r="8" customFormat="false" ht="68.65" hidden="false" customHeight="false" outlineLevel="0" collapsed="false">
      <c r="A8" s="16" t="s">
        <v>220</v>
      </c>
      <c r="B8" s="16" t="s">
        <v>646</v>
      </c>
      <c r="C8" s="16" t="n">
        <f aca="false">COUNTA(Matriz!J2:J141)</f>
        <v>19</v>
      </c>
      <c r="D8" s="16" t="s">
        <v>2134</v>
      </c>
      <c r="E8" s="16"/>
    </row>
    <row r="9" customFormat="false" ht="15" hidden="false" customHeight="false" outlineLevel="0" collapsed="false">
      <c r="A9" s="16" t="s">
        <v>563</v>
      </c>
      <c r="B9" s="16" t="s">
        <v>649</v>
      </c>
      <c r="C9" s="16" t="n">
        <f aca="false">COUNTA(Matriz!K2:K141)</f>
        <v>2</v>
      </c>
      <c r="D9" s="16" t="s">
        <v>2135</v>
      </c>
      <c r="E9" s="16"/>
    </row>
    <row r="10" customFormat="false" ht="15" hidden="false" customHeight="false" outlineLevel="0" collapsed="false">
      <c r="A10" s="16" t="s">
        <v>564</v>
      </c>
      <c r="B10" s="16" t="s">
        <v>660</v>
      </c>
      <c r="C10" s="16" t="n">
        <f aca="false">COUNTA(Matriz!L2:L141)</f>
        <v>1</v>
      </c>
      <c r="D10" s="16" t="s">
        <v>363</v>
      </c>
      <c r="E10" s="16"/>
    </row>
    <row r="11" customFormat="false" ht="35.05" hidden="false" customHeight="false" outlineLevel="0" collapsed="false">
      <c r="A11" s="16" t="s">
        <v>28</v>
      </c>
      <c r="B11" s="16" t="s">
        <v>652</v>
      </c>
      <c r="C11" s="16" t="n">
        <f aca="false">COUNTA(Matriz!M2:M141)</f>
        <v>8</v>
      </c>
      <c r="D11" s="16" t="s">
        <v>2136</v>
      </c>
      <c r="E11" s="16"/>
    </row>
    <row r="12" customFormat="false" ht="15" hidden="false" customHeight="false" outlineLevel="0" collapsed="false">
      <c r="A12" s="16" t="s">
        <v>565</v>
      </c>
      <c r="B12" s="16" t="s">
        <v>896</v>
      </c>
      <c r="C12" s="16" t="n">
        <f aca="false">COUNTA(Matriz!N2:N141)</f>
        <v>2</v>
      </c>
      <c r="D12" s="16" t="s">
        <v>2137</v>
      </c>
      <c r="E12" s="16"/>
    </row>
    <row r="13" customFormat="false" ht="15" hidden="false" customHeight="false" outlineLevel="0" collapsed="false">
      <c r="A13" s="16" t="s">
        <v>113</v>
      </c>
      <c r="B13" s="16" t="s">
        <v>919</v>
      </c>
      <c r="C13" s="16" t="n">
        <f aca="false">COUNTA(Matriz!O2:O141)</f>
        <v>2</v>
      </c>
      <c r="D13" s="16" t="s">
        <v>2138</v>
      </c>
      <c r="E13" s="16"/>
    </row>
    <row r="14" customFormat="false" ht="23.85" hidden="false" customHeight="false" outlineLevel="0" collapsed="false">
      <c r="A14" s="16" t="s">
        <v>84</v>
      </c>
      <c r="B14" s="16" t="s">
        <v>657</v>
      </c>
      <c r="C14" s="16" t="n">
        <f aca="false">COUNTA(Matriz!P2:P141)</f>
        <v>7</v>
      </c>
      <c r="D14" s="16" t="s">
        <v>2139</v>
      </c>
      <c r="E14" s="16"/>
    </row>
    <row r="15" customFormat="false" ht="57.45" hidden="false" customHeight="false" outlineLevel="0" collapsed="false">
      <c r="A15" s="16" t="s">
        <v>76</v>
      </c>
      <c r="B15" s="16" t="s">
        <v>660</v>
      </c>
      <c r="C15" s="16" t="n">
        <f aca="false">COUNTA(Matriz!Q2:Q141)</f>
        <v>13</v>
      </c>
      <c r="D15" s="16" t="s">
        <v>2140</v>
      </c>
      <c r="E15" s="16" t="s">
        <v>2141</v>
      </c>
    </row>
    <row r="16" customFormat="false" ht="15" hidden="false" customHeight="false" outlineLevel="0" collapsed="false">
      <c r="A16" s="16" t="s">
        <v>67</v>
      </c>
      <c r="B16" s="16" t="s">
        <v>791</v>
      </c>
      <c r="C16" s="16" t="n">
        <f aca="false">COUNTA(Matriz!R2:R141)</f>
        <v>1</v>
      </c>
      <c r="D16" s="16" t="s">
        <v>65</v>
      </c>
      <c r="E16" s="16"/>
    </row>
    <row r="17" customFormat="false" ht="23.85" hidden="false" customHeight="false" outlineLevel="0" collapsed="false">
      <c r="A17" s="16" t="s">
        <v>566</v>
      </c>
      <c r="B17" s="16" t="s">
        <v>722</v>
      </c>
      <c r="C17" s="16" t="n">
        <f aca="false">COUNTA(Matriz!S2:S141)</f>
        <v>3</v>
      </c>
      <c r="D17" s="16" t="s">
        <v>2142</v>
      </c>
      <c r="E17" s="16" t="s">
        <v>2143</v>
      </c>
    </row>
    <row r="18" customFormat="false" ht="23.85" hidden="false" customHeight="false" outlineLevel="0" collapsed="false">
      <c r="A18" s="16" t="s">
        <v>63</v>
      </c>
      <c r="B18" s="16" t="s">
        <v>725</v>
      </c>
      <c r="C18" s="16" t="n">
        <f aca="false">COUNTA(Matriz!T2:T141)</f>
        <v>4</v>
      </c>
      <c r="D18" s="16" t="s">
        <v>2144</v>
      </c>
      <c r="E18" s="16"/>
    </row>
    <row r="19" customFormat="false" ht="23.85" hidden="false" customHeight="false" outlineLevel="0" collapsed="false">
      <c r="A19" s="16" t="s">
        <v>59</v>
      </c>
      <c r="B19" s="16" t="s">
        <v>662</v>
      </c>
      <c r="C19" s="16" t="n">
        <f aca="false">COUNTA(Matriz!U2:U141)</f>
        <v>7</v>
      </c>
      <c r="D19" s="16" t="s">
        <v>2145</v>
      </c>
      <c r="E19" s="16"/>
    </row>
    <row r="20" customFormat="false" ht="35.05" hidden="false" customHeight="false" outlineLevel="0" collapsed="false">
      <c r="A20" s="16" t="s">
        <v>48</v>
      </c>
      <c r="B20" s="16" t="s">
        <v>751</v>
      </c>
      <c r="C20" s="16" t="n">
        <f aca="false">COUNTA(Matriz!V2:V141)</f>
        <v>8</v>
      </c>
      <c r="D20" s="16" t="s">
        <v>2146</v>
      </c>
      <c r="E20" s="16"/>
    </row>
    <row r="21" customFormat="false" ht="35.05" hidden="false" customHeight="false" outlineLevel="0" collapsed="false">
      <c r="A21" s="16" t="s">
        <v>100</v>
      </c>
      <c r="B21" s="16" t="s">
        <v>878</v>
      </c>
      <c r="C21" s="16" t="n">
        <f aca="false">COUNTA(Matriz!W2:W141)</f>
        <v>8</v>
      </c>
      <c r="D21" s="16" t="s">
        <v>2147</v>
      </c>
      <c r="E21" s="16"/>
    </row>
    <row r="22" customFormat="false" ht="23.85" hidden="false" customHeight="false" outlineLevel="0" collapsed="false">
      <c r="A22" s="16" t="s">
        <v>567</v>
      </c>
      <c r="B22" s="16" t="s">
        <v>707</v>
      </c>
      <c r="C22" s="16" t="n">
        <f aca="false">COUNTA(Matriz!X2:X141)</f>
        <v>4</v>
      </c>
      <c r="D22" s="16" t="s">
        <v>2148</v>
      </c>
      <c r="E22" s="16"/>
    </row>
    <row r="23" customFormat="false" ht="35.05" hidden="false" customHeight="false" outlineLevel="0" collapsed="false">
      <c r="A23" s="16" t="s">
        <v>568</v>
      </c>
      <c r="B23" s="16" t="s">
        <v>814</v>
      </c>
      <c r="C23" s="16" t="n">
        <f aca="false">COUNTA(Matriz!Y2:Y141)</f>
        <v>8</v>
      </c>
      <c r="D23" s="16" t="s">
        <v>2149</v>
      </c>
      <c r="E23" s="16"/>
    </row>
    <row r="24" customFormat="false" ht="15" hidden="false" customHeight="false" outlineLevel="0" collapsed="false">
      <c r="A24" s="16" t="s">
        <v>569</v>
      </c>
      <c r="B24" s="16" t="s">
        <v>883</v>
      </c>
      <c r="C24" s="16" t="n">
        <f aca="false">COUNTA(Matriz!Z2:Z141)</f>
        <v>3</v>
      </c>
      <c r="D24" s="16" t="s">
        <v>2150</v>
      </c>
      <c r="E24" s="16"/>
    </row>
    <row r="25" customFormat="false" ht="23.85" hidden="false" customHeight="false" outlineLevel="0" collapsed="false">
      <c r="A25" s="16" t="s">
        <v>38</v>
      </c>
      <c r="B25" s="16" t="s">
        <v>696</v>
      </c>
      <c r="C25" s="16" t="n">
        <f aca="false">COUNTA(Matriz!AA2:AA141)</f>
        <v>7</v>
      </c>
      <c r="D25" s="16" t="s">
        <v>2151</v>
      </c>
      <c r="E25" s="16"/>
    </row>
    <row r="26" customFormat="false" ht="23.85" hidden="false" customHeight="false" outlineLevel="0" collapsed="false">
      <c r="A26" s="16" t="s">
        <v>550</v>
      </c>
      <c r="B26" s="16" t="s">
        <v>1224</v>
      </c>
      <c r="C26" s="16" t="n">
        <f aca="false">COUNTA(Matriz!AB2:AB141)</f>
        <v>3</v>
      </c>
      <c r="D26" s="16" t="s">
        <v>2152</v>
      </c>
      <c r="E26" s="16"/>
    </row>
    <row r="27" customFormat="false" ht="23.85" hidden="false" customHeight="false" outlineLevel="0" collapsed="false">
      <c r="A27" s="16" t="s">
        <v>320</v>
      </c>
      <c r="B27" s="16" t="s">
        <v>816</v>
      </c>
      <c r="C27" s="16" t="n">
        <f aca="false">COUNTA(Matriz!AC2:AC141)</f>
        <v>6</v>
      </c>
      <c r="D27" s="16" t="s">
        <v>2153</v>
      </c>
      <c r="E27" s="16"/>
    </row>
    <row r="28" customFormat="false" ht="35.05" hidden="false" customHeight="false" outlineLevel="0" collapsed="false">
      <c r="A28" s="16" t="s">
        <v>570</v>
      </c>
      <c r="B28" s="16" t="s">
        <v>730</v>
      </c>
      <c r="C28" s="16" t="n">
        <f aca="false">COUNTA(Matriz!AD2:AD141)</f>
        <v>9</v>
      </c>
      <c r="D28" s="16" t="s">
        <v>2154</v>
      </c>
      <c r="E28" s="16"/>
    </row>
    <row r="29" customFormat="false" ht="35.05" hidden="false" customHeight="false" outlineLevel="0" collapsed="false">
      <c r="A29" s="16" t="s">
        <v>571</v>
      </c>
      <c r="B29" s="16" t="s">
        <v>637</v>
      </c>
      <c r="C29" s="16" t="n">
        <f aca="false">COUNTA(Matriz!AE2:AE141)</f>
        <v>12</v>
      </c>
      <c r="D29" s="16" t="s">
        <v>2155</v>
      </c>
      <c r="E29" s="16"/>
    </row>
    <row r="30" customFormat="false" ht="15" hidden="false" customHeight="false" outlineLevel="0" collapsed="false">
      <c r="A30" s="16" t="s">
        <v>572</v>
      </c>
      <c r="B30" s="16" t="s">
        <v>899</v>
      </c>
      <c r="C30" s="16" t="n">
        <f aca="false">COUNTA(Matriz!AF2:AF141)</f>
        <v>1</v>
      </c>
      <c r="D30" s="16" t="s">
        <v>102</v>
      </c>
      <c r="E30" s="16"/>
    </row>
    <row r="31" customFormat="false" ht="15" hidden="false" customHeight="false" outlineLevel="0" collapsed="false">
      <c r="A31" s="16" t="s">
        <v>383</v>
      </c>
      <c r="B31" s="16" t="s">
        <v>626</v>
      </c>
      <c r="C31" s="16" t="n">
        <f aca="false">COUNTA(Matriz!AG2:AG141)</f>
        <v>3</v>
      </c>
      <c r="D31" s="16" t="s">
        <v>2156</v>
      </c>
      <c r="E31" s="16"/>
    </row>
    <row r="32" customFormat="false" ht="46.25" hidden="false" customHeight="false" outlineLevel="0" collapsed="false">
      <c r="A32" s="16" t="s">
        <v>573</v>
      </c>
      <c r="B32" s="16" t="s">
        <v>923</v>
      </c>
      <c r="C32" s="16" t="n">
        <f aca="false">COUNTA(Matriz!AH2:AH141)</f>
        <v>11</v>
      </c>
      <c r="D32" s="16" t="s">
        <v>2157</v>
      </c>
      <c r="E32" s="16"/>
    </row>
    <row r="33" customFormat="false" ht="23.85" hidden="false" customHeight="false" outlineLevel="0" collapsed="false">
      <c r="A33" s="16" t="s">
        <v>266</v>
      </c>
      <c r="B33" s="16" t="s">
        <v>685</v>
      </c>
      <c r="C33" s="16" t="n">
        <f aca="false">COUNTA(Matriz!AI2:AI141)</f>
        <v>7</v>
      </c>
      <c r="D33" s="16" t="s">
        <v>2158</v>
      </c>
      <c r="E33" s="16"/>
    </row>
    <row r="34" customFormat="false" ht="23.85" hidden="false" customHeight="false" outlineLevel="0" collapsed="false">
      <c r="A34" s="16" t="s">
        <v>227</v>
      </c>
      <c r="B34" s="16" t="s">
        <v>819</v>
      </c>
      <c r="C34" s="16" t="n">
        <f aca="false">COUNTA(Matriz!AJ2:AJ141)</f>
        <v>8</v>
      </c>
      <c r="D34" s="16" t="s">
        <v>2159</v>
      </c>
      <c r="E34" s="16"/>
    </row>
    <row r="35" customFormat="false" ht="46.25" hidden="false" customHeight="false" outlineLevel="0" collapsed="false">
      <c r="A35" s="16" t="s">
        <v>294</v>
      </c>
      <c r="B35" s="16" t="s">
        <v>640</v>
      </c>
      <c r="C35" s="16" t="n">
        <f aca="false">COUNTA(Matriz!AK2:AK141)</f>
        <v>16</v>
      </c>
      <c r="D35" s="16" t="s">
        <v>2160</v>
      </c>
      <c r="E35" s="16"/>
    </row>
    <row r="36" customFormat="false" ht="15" hidden="false" customHeight="false" outlineLevel="0" collapsed="false">
      <c r="A36" s="16" t="s">
        <v>312</v>
      </c>
      <c r="B36" s="16" t="s">
        <v>1126</v>
      </c>
      <c r="C36" s="16" t="n">
        <f aca="false">COUNTA(Matriz!AL2:AL141)</f>
        <v>3</v>
      </c>
      <c r="D36" s="16" t="s">
        <v>2161</v>
      </c>
      <c r="E36" s="16"/>
    </row>
    <row r="37" customFormat="false" ht="23.85" hidden="false" customHeight="false" outlineLevel="0" collapsed="false">
      <c r="A37" s="16" t="s">
        <v>574</v>
      </c>
      <c r="B37" s="16" t="s">
        <v>732</v>
      </c>
      <c r="C37" s="16" t="n">
        <f aca="false">COUNTA(Matriz!AM2:AM141)</f>
        <v>8</v>
      </c>
      <c r="D37" s="16" t="s">
        <v>2162</v>
      </c>
      <c r="E37" s="16"/>
    </row>
    <row r="38" customFormat="false" ht="23.85" hidden="false" customHeight="false" outlineLevel="0" collapsed="false">
      <c r="A38" s="16" t="s">
        <v>575</v>
      </c>
      <c r="B38" s="16" t="s">
        <v>950</v>
      </c>
      <c r="C38" s="16" t="n">
        <f aca="false">COUNTA(Matriz!AN2:AN141)</f>
        <v>8</v>
      </c>
      <c r="D38" s="16" t="s">
        <v>2163</v>
      </c>
      <c r="E38" s="16"/>
    </row>
    <row r="39" customFormat="false" ht="23.85" hidden="false" customHeight="false" outlineLevel="0" collapsed="false">
      <c r="A39" s="16" t="s">
        <v>576</v>
      </c>
      <c r="B39" s="16" t="s">
        <v>953</v>
      </c>
      <c r="C39" s="16" t="n">
        <f aca="false">COUNTA(Matriz!AO2:AO141)</f>
        <v>6</v>
      </c>
      <c r="D39" s="16" t="s">
        <v>2164</v>
      </c>
      <c r="E39" s="16"/>
    </row>
    <row r="40" customFormat="false" ht="23.85" hidden="false" customHeight="false" outlineLevel="0" collapsed="false">
      <c r="A40" s="16" t="s">
        <v>577</v>
      </c>
      <c r="B40" s="16" t="s">
        <v>1111</v>
      </c>
      <c r="C40" s="16" t="n">
        <f aca="false">COUNTA(Matriz!AP2:AP141)</f>
        <v>7</v>
      </c>
      <c r="D40" s="16" t="s">
        <v>2165</v>
      </c>
      <c r="E40" s="16"/>
    </row>
    <row r="41" customFormat="false" ht="46.25" hidden="false" customHeight="false" outlineLevel="0" collapsed="false">
      <c r="A41" s="16" t="s">
        <v>296</v>
      </c>
      <c r="B41" s="16" t="s">
        <v>714</v>
      </c>
      <c r="C41" s="16" t="n">
        <f aca="false">COUNTA(Matriz!AQ2:AQ141)</f>
        <v>15</v>
      </c>
      <c r="D41" s="16" t="s">
        <v>2166</v>
      </c>
      <c r="E41" s="16"/>
    </row>
    <row r="42" customFormat="false" ht="68.65" hidden="false" customHeight="false" outlineLevel="0" collapsed="false">
      <c r="A42" s="16" t="s">
        <v>578</v>
      </c>
      <c r="B42" s="16" t="s">
        <v>666</v>
      </c>
      <c r="C42" s="16" t="n">
        <f aca="false">COUNTA(Matriz!AR2:AR141)</f>
        <v>18</v>
      </c>
      <c r="D42" s="16" t="s">
        <v>2167</v>
      </c>
      <c r="E42" s="16"/>
    </row>
    <row r="43" customFormat="false" ht="15" hidden="false" customHeight="false" outlineLevel="0" collapsed="false">
      <c r="A43" s="16" t="s">
        <v>346</v>
      </c>
      <c r="B43" s="16" t="s">
        <v>736</v>
      </c>
      <c r="C43" s="16" t="n">
        <f aca="false">COUNTA(Matriz!AS2:AS141)</f>
        <v>2</v>
      </c>
      <c r="D43" s="16" t="s">
        <v>2168</v>
      </c>
      <c r="E43" s="16"/>
    </row>
    <row r="44" customFormat="false" ht="23.85" hidden="false" customHeight="false" outlineLevel="0" collapsed="false">
      <c r="A44" s="16" t="s">
        <v>369</v>
      </c>
      <c r="B44" s="16" t="s">
        <v>736</v>
      </c>
      <c r="C44" s="16" t="n">
        <f aca="false">COUNTA(Matriz!AT2:AT141)</f>
        <v>6</v>
      </c>
      <c r="D44" s="16" t="s">
        <v>2169</v>
      </c>
      <c r="E44" s="16" t="s">
        <v>2170</v>
      </c>
    </row>
    <row r="45" customFormat="false" ht="15" hidden="false" customHeight="false" outlineLevel="0" collapsed="false">
      <c r="A45" s="16" t="s">
        <v>579</v>
      </c>
      <c r="B45" s="16" t="s">
        <v>1583</v>
      </c>
      <c r="C45" s="16" t="n">
        <f aca="false">COUNTA(Matriz!AU2:AU141)</f>
        <v>1</v>
      </c>
      <c r="D45" s="16" t="s">
        <v>343</v>
      </c>
      <c r="E45" s="16"/>
    </row>
    <row r="46" customFormat="false" ht="15" hidden="false" customHeight="false" outlineLevel="0" collapsed="false">
      <c r="A46" s="16" t="s">
        <v>2171</v>
      </c>
      <c r="B46" s="16" t="s">
        <v>2172</v>
      </c>
      <c r="C46" s="16" t="n">
        <v>0</v>
      </c>
      <c r="D46" s="16" t="s">
        <v>2173</v>
      </c>
      <c r="E46" s="16"/>
    </row>
    <row r="47" customFormat="false" ht="35.05" hidden="false" customHeight="false" outlineLevel="0" collapsed="false">
      <c r="A47" s="16" t="s">
        <v>580</v>
      </c>
      <c r="B47" s="16" t="s">
        <v>1177</v>
      </c>
      <c r="C47" s="16" t="n">
        <f aca="false">COUNTA(Matriz!AV2:AV141)</f>
        <v>8</v>
      </c>
      <c r="D47" s="16" t="s">
        <v>2174</v>
      </c>
      <c r="E47" s="16"/>
    </row>
    <row r="48" customFormat="false" ht="15" hidden="false" customHeight="false" outlineLevel="0" collapsed="false">
      <c r="A48" s="16" t="s">
        <v>268</v>
      </c>
      <c r="B48" s="16" t="s">
        <v>821</v>
      </c>
      <c r="C48" s="16" t="n">
        <f aca="false">COUNTA(Matriz!AW2:AW141)</f>
        <v>4</v>
      </c>
      <c r="D48" s="16" t="s">
        <v>2175</v>
      </c>
      <c r="E48" s="16"/>
    </row>
    <row r="49" customFormat="false" ht="23.85" hidden="false" customHeight="false" outlineLevel="0" collapsed="false">
      <c r="A49" s="16" t="s">
        <v>581</v>
      </c>
      <c r="B49" s="16" t="s">
        <v>1459</v>
      </c>
      <c r="C49" s="16" t="n">
        <f aca="false">COUNTA(Matriz!AX2:AX141)</f>
        <v>4</v>
      </c>
      <c r="D49" s="16" t="s">
        <v>2176</v>
      </c>
      <c r="E49" s="16"/>
    </row>
    <row r="50" customFormat="false" ht="23.85" hidden="false" customHeight="false" outlineLevel="0" collapsed="false">
      <c r="A50" s="16" t="s">
        <v>388</v>
      </c>
      <c r="B50" s="16" t="s">
        <v>1701</v>
      </c>
      <c r="C50" s="16" t="n">
        <f aca="false">COUNTA(Matriz!AY2:AY141)</f>
        <v>5</v>
      </c>
      <c r="D50" s="16" t="s">
        <v>2177</v>
      </c>
      <c r="E50" s="16"/>
    </row>
    <row r="51" customFormat="false" ht="23.85" hidden="false" customHeight="false" outlineLevel="0" collapsed="false">
      <c r="A51" s="16" t="s">
        <v>402</v>
      </c>
      <c r="B51" s="16" t="s">
        <v>738</v>
      </c>
      <c r="C51" s="16" t="n">
        <f aca="false">COUNTA(Matriz!AZ2:AZ141)</f>
        <v>6</v>
      </c>
      <c r="D51" s="16" t="s">
        <v>2178</v>
      </c>
      <c r="E51" s="16"/>
    </row>
    <row r="52" customFormat="false" ht="35.05" hidden="false" customHeight="false" outlineLevel="0" collapsed="false">
      <c r="A52" s="16" t="s">
        <v>390</v>
      </c>
      <c r="B52" s="16" t="s">
        <v>740</v>
      </c>
      <c r="C52" s="16" t="n">
        <f aca="false">COUNTA(Matriz!BA2:BA141)</f>
        <v>7</v>
      </c>
      <c r="D52" s="16" t="s">
        <v>2179</v>
      </c>
      <c r="E52" s="16"/>
    </row>
    <row r="53" customFormat="false" ht="23.85" hidden="false" customHeight="false" outlineLevel="0" collapsed="false">
      <c r="A53" s="16" t="s">
        <v>420</v>
      </c>
      <c r="B53" s="16" t="s">
        <v>772</v>
      </c>
      <c r="C53" s="16" t="n">
        <f aca="false">COUNTA(Matriz!BB2:BB141)</f>
        <v>5</v>
      </c>
      <c r="D53" s="16" t="s">
        <v>2180</v>
      </c>
      <c r="E53" s="16"/>
    </row>
    <row r="54" customFormat="false" ht="23.85" hidden="false" customHeight="false" outlineLevel="0" collapsed="false">
      <c r="A54" s="16" t="s">
        <v>408</v>
      </c>
      <c r="B54" s="16" t="s">
        <v>904</v>
      </c>
      <c r="C54" s="16" t="n">
        <f aca="false">COUNTA(Matriz!BC2:BC141)</f>
        <v>5</v>
      </c>
      <c r="D54" s="16" t="s">
        <v>2181</v>
      </c>
      <c r="E54" s="16"/>
    </row>
    <row r="55" customFormat="false" ht="46.25" hidden="false" customHeight="false" outlineLevel="0" collapsed="false">
      <c r="A55" s="16" t="s">
        <v>109</v>
      </c>
      <c r="B55" s="16" t="s">
        <v>742</v>
      </c>
      <c r="C55" s="16" t="n">
        <f aca="false">COUNTA(Matriz!BD2:BD141)</f>
        <v>10</v>
      </c>
      <c r="D55" s="16" t="s">
        <v>2182</v>
      </c>
      <c r="E55" s="16"/>
    </row>
    <row r="56" customFormat="false" ht="23.85" hidden="false" customHeight="false" outlineLevel="0" collapsed="false">
      <c r="A56" s="16" t="s">
        <v>582</v>
      </c>
      <c r="B56" s="16" t="s">
        <v>1911</v>
      </c>
      <c r="C56" s="16" t="n">
        <f aca="false">COUNTA(Matriz!BE2:BE141)</f>
        <v>3</v>
      </c>
      <c r="D56" s="16" t="s">
        <v>2183</v>
      </c>
      <c r="E56" s="16"/>
    </row>
    <row r="57" customFormat="false" ht="35.05" hidden="false" customHeight="false" outlineLevel="0" collapsed="false">
      <c r="A57" s="16" t="s">
        <v>235</v>
      </c>
      <c r="B57" s="16" t="s">
        <v>1204</v>
      </c>
      <c r="C57" s="16" t="n">
        <f aca="false">COUNTA(Matriz!BF2:BF141)</f>
        <v>9</v>
      </c>
      <c r="D57" s="16" t="s">
        <v>2184</v>
      </c>
      <c r="E57" s="16" t="s">
        <v>2185</v>
      </c>
    </row>
    <row r="58" customFormat="false" ht="23.85" hidden="false" customHeight="false" outlineLevel="0" collapsed="false">
      <c r="A58" s="16" t="s">
        <v>583</v>
      </c>
      <c r="B58" s="16" t="s">
        <v>669</v>
      </c>
      <c r="C58" s="16" t="n">
        <f aca="false">COUNTA(Matriz!BG2:BG141)</f>
        <v>6</v>
      </c>
      <c r="D58" s="16" t="s">
        <v>2186</v>
      </c>
      <c r="E58" s="16"/>
    </row>
    <row r="59" customFormat="false" ht="57.45" hidden="false" customHeight="false" outlineLevel="0" collapsed="false">
      <c r="A59" s="16" t="s">
        <v>451</v>
      </c>
      <c r="B59" s="16" t="s">
        <v>672</v>
      </c>
      <c r="C59" s="16" t="n">
        <f aca="false">COUNTA(Matriz!BH2:BH141)</f>
        <v>15</v>
      </c>
      <c r="D59" s="16" t="s">
        <v>2187</v>
      </c>
      <c r="E59" s="16"/>
    </row>
    <row r="60" customFormat="false" ht="46.25" hidden="false" customHeight="false" outlineLevel="0" collapsed="false">
      <c r="A60" s="16" t="s">
        <v>584</v>
      </c>
      <c r="B60" s="16" t="s">
        <v>1131</v>
      </c>
      <c r="C60" s="16" t="n">
        <f aca="false">COUNTA(Matriz!BI2:BI141)</f>
        <v>12</v>
      </c>
      <c r="D60" s="16" t="s">
        <v>2188</v>
      </c>
      <c r="E60" s="16"/>
    </row>
    <row r="61" customFormat="false" ht="68.65" hidden="false" customHeight="false" outlineLevel="0" collapsed="false">
      <c r="A61" s="16" t="s">
        <v>473</v>
      </c>
      <c r="B61" s="16" t="s">
        <v>775</v>
      </c>
      <c r="C61" s="16" t="n">
        <f aca="false">COUNTA(Matriz!BJ2:BJ141)</f>
        <v>15</v>
      </c>
      <c r="D61" s="16" t="s">
        <v>2189</v>
      </c>
      <c r="E61" s="16"/>
    </row>
    <row r="62" customFormat="false" ht="46.25" hidden="false" customHeight="false" outlineLevel="0" collapsed="false">
      <c r="A62" s="16" t="s">
        <v>469</v>
      </c>
      <c r="B62" s="16" t="s">
        <v>1183</v>
      </c>
      <c r="C62" s="16" t="n">
        <f aca="false">COUNTA(Matriz!BK2:BK141)</f>
        <v>9</v>
      </c>
      <c r="D62" s="16" t="s">
        <v>2190</v>
      </c>
      <c r="E62" s="16"/>
    </row>
    <row r="63" customFormat="false" ht="35.05" hidden="false" customHeight="false" outlineLevel="0" collapsed="false">
      <c r="A63" s="16" t="s">
        <v>585</v>
      </c>
      <c r="B63" s="16" t="s">
        <v>907</v>
      </c>
      <c r="C63" s="16" t="n">
        <f aca="false">COUNTA(Matriz!BL2:BL141)</f>
        <v>8</v>
      </c>
      <c r="D63" s="16" t="s">
        <v>2191</v>
      </c>
      <c r="E63" s="16"/>
    </row>
    <row r="64" customFormat="false" ht="35.05" hidden="false" customHeight="false" outlineLevel="0" collapsed="false">
      <c r="A64" s="16" t="s">
        <v>477</v>
      </c>
      <c r="B64" s="16" t="s">
        <v>1133</v>
      </c>
      <c r="C64" s="16" t="n">
        <f aca="false">COUNTA(Matriz!BM2:BM141)</f>
        <v>7</v>
      </c>
      <c r="D64" s="16" t="s">
        <v>2192</v>
      </c>
      <c r="E64" s="16"/>
    </row>
    <row r="65" customFormat="false" ht="15" hidden="false" customHeight="false" outlineLevel="0" collapsed="false">
      <c r="A65" s="16" t="s">
        <v>416</v>
      </c>
      <c r="B65" s="16" t="s">
        <v>1430</v>
      </c>
      <c r="C65" s="16" t="n">
        <f aca="false">COUNTA(Matriz!BN2:BN141)</f>
        <v>3</v>
      </c>
      <c r="D65" s="16" t="s">
        <v>2193</v>
      </c>
      <c r="E65" s="16"/>
    </row>
    <row r="66" customFormat="false" ht="15" hidden="false" customHeight="false" outlineLevel="0" collapsed="false">
      <c r="A66" s="16" t="s">
        <v>586</v>
      </c>
      <c r="B66" s="16" t="s">
        <v>1644</v>
      </c>
      <c r="C66" s="16" t="n">
        <f aca="false">COUNTA(Matriz!BO2:BO141)</f>
        <v>2</v>
      </c>
      <c r="D66" s="16" t="s">
        <v>2194</v>
      </c>
      <c r="E66" s="16"/>
    </row>
    <row r="67" customFormat="false" ht="15" hidden="false" customHeight="false" outlineLevel="0" collapsed="false">
      <c r="A67" s="16" t="s">
        <v>442</v>
      </c>
      <c r="B67" s="16" t="s">
        <v>1833</v>
      </c>
      <c r="C67" s="16" t="n">
        <f aca="false">COUNTA(Matriz!BP2:BP141)</f>
        <v>2</v>
      </c>
      <c r="D67" s="16" t="s">
        <v>2195</v>
      </c>
      <c r="E67" s="16"/>
    </row>
    <row r="68" customFormat="false" ht="23.85" hidden="false" customHeight="false" outlineLevel="0" collapsed="false">
      <c r="A68" s="16" t="s">
        <v>499</v>
      </c>
      <c r="B68" s="16" t="s">
        <v>1893</v>
      </c>
      <c r="C68" s="16" t="n">
        <f aca="false">COUNTA(Matriz!BQ2:BQ141)</f>
        <v>5</v>
      </c>
      <c r="D68" s="16" t="s">
        <v>2196</v>
      </c>
      <c r="E68" s="16"/>
    </row>
    <row r="69" customFormat="false" ht="15" hidden="false" customHeight="false" outlineLevel="0" collapsed="false">
      <c r="A69" s="16" t="s">
        <v>2197</v>
      </c>
      <c r="B69" s="16" t="s">
        <v>2198</v>
      </c>
      <c r="C69" s="16" t="n">
        <v>0</v>
      </c>
      <c r="D69" s="16" t="s">
        <v>2173</v>
      </c>
      <c r="E69" s="16"/>
    </row>
    <row r="70" customFormat="false" ht="23.85" hidden="false" customHeight="false" outlineLevel="0" collapsed="false">
      <c r="A70" s="16" t="s">
        <v>504</v>
      </c>
      <c r="B70" s="16" t="s">
        <v>1316</v>
      </c>
      <c r="C70" s="16" t="n">
        <f aca="false">COUNTA(Matriz!BR2:BR141)</f>
        <v>3</v>
      </c>
      <c r="D70" s="16" t="s">
        <v>2199</v>
      </c>
      <c r="E70" s="16"/>
    </row>
    <row r="71" customFormat="false" ht="57.45" hidden="false" customHeight="false" outlineLevel="0" collapsed="false">
      <c r="A71" s="16" t="s">
        <v>508</v>
      </c>
      <c r="B71" s="16" t="s">
        <v>831</v>
      </c>
      <c r="C71" s="16" t="n">
        <f aca="false">COUNTA(Matriz!BS2:BS141)</f>
        <v>14</v>
      </c>
      <c r="D71" s="16" t="s">
        <v>2200</v>
      </c>
      <c r="E71" s="16"/>
    </row>
    <row r="72" customFormat="false" ht="23.85" hidden="false" customHeight="false" outlineLevel="0" collapsed="false">
      <c r="A72" s="16" t="s">
        <v>587</v>
      </c>
      <c r="B72" s="16" t="s">
        <v>833</v>
      </c>
      <c r="C72" s="16" t="n">
        <f aca="false">COUNTA(Matriz!BT2:BT141)</f>
        <v>7</v>
      </c>
      <c r="D72" s="16" t="s">
        <v>2201</v>
      </c>
      <c r="E72" s="16"/>
    </row>
    <row r="73" customFormat="false" ht="15" hidden="false" customHeight="false" outlineLevel="0" collapsed="false">
      <c r="A73" s="16" t="s">
        <v>588</v>
      </c>
      <c r="B73" s="16" t="s">
        <v>982</v>
      </c>
      <c r="C73" s="16" t="n">
        <f aca="false">COUNTA(Matriz!BU2:BU141)</f>
        <v>3</v>
      </c>
      <c r="D73" s="16" t="s">
        <v>2202</v>
      </c>
      <c r="E73" s="16"/>
    </row>
    <row r="74" customFormat="false" ht="23.85" hidden="false" customHeight="false" outlineLevel="0" collapsed="false">
      <c r="A74" s="16" t="s">
        <v>589</v>
      </c>
      <c r="B74" s="16" t="s">
        <v>1372</v>
      </c>
      <c r="C74" s="16" t="n">
        <f aca="false">COUNTA(Matriz!BV2:BV141)</f>
        <v>5</v>
      </c>
      <c r="D74" s="16" t="s">
        <v>2203</v>
      </c>
      <c r="E74" s="16"/>
    </row>
    <row r="75" customFormat="false" ht="15" hidden="false" customHeight="false" outlineLevel="0" collapsed="false">
      <c r="A75" s="16" t="s">
        <v>2204</v>
      </c>
      <c r="B75" s="16" t="s">
        <v>2205</v>
      </c>
      <c r="C75" s="16" t="n">
        <v>0</v>
      </c>
      <c r="D75" s="16" t="s">
        <v>2173</v>
      </c>
      <c r="E75" s="16"/>
    </row>
    <row r="76" customFormat="false" ht="15" hidden="false" customHeight="false" outlineLevel="0" collapsed="false">
      <c r="A76" s="16" t="s">
        <v>538</v>
      </c>
      <c r="B76" s="16" t="s">
        <v>1318</v>
      </c>
      <c r="C76" s="16" t="n">
        <f aca="false">COUNTA(Matriz!BW2:BW141)</f>
        <v>5</v>
      </c>
      <c r="D76" s="16" t="s">
        <v>2206</v>
      </c>
      <c r="E76" s="16"/>
    </row>
    <row r="77" customFormat="false" ht="15" hidden="false" customHeight="false" outlineLevel="0" collapsed="false">
      <c r="A77" s="16" t="s">
        <v>590</v>
      </c>
      <c r="B77" s="16" t="s">
        <v>909</v>
      </c>
      <c r="C77" s="16" t="n">
        <f aca="false">COUNTA(Matriz!BX2:BX141)</f>
        <v>2</v>
      </c>
      <c r="D77" s="16" t="s">
        <v>2207</v>
      </c>
      <c r="E77" s="16"/>
    </row>
    <row r="78" customFormat="false" ht="15" hidden="false" customHeight="false" outlineLevel="0" collapsed="false">
      <c r="A78" s="16" t="s">
        <v>591</v>
      </c>
      <c r="B78" s="16" t="s">
        <v>1189</v>
      </c>
      <c r="C78" s="16" t="n">
        <f aca="false">COUNTA(Matriz!BY2:BY141)</f>
        <v>1</v>
      </c>
      <c r="D78" s="16" t="s">
        <v>208</v>
      </c>
      <c r="E78" s="16"/>
    </row>
    <row r="79" customFormat="false" ht="15" hidden="false" customHeight="false" outlineLevel="0" collapsed="false">
      <c r="A79" s="16" t="s">
        <v>592</v>
      </c>
      <c r="B79" s="16" t="s">
        <v>1189</v>
      </c>
      <c r="C79" s="16" t="n">
        <f aca="false">COUNTA(Matriz!BZ2:BZ141)</f>
        <v>1</v>
      </c>
      <c r="D79" s="16" t="s">
        <v>424</v>
      </c>
      <c r="E79" s="16"/>
    </row>
    <row r="80" customFormat="false" ht="15" hidden="false" customHeight="false" outlineLevel="0" collapsed="false">
      <c r="A80" s="16" t="s">
        <v>593</v>
      </c>
      <c r="B80" s="16" t="s">
        <v>1681</v>
      </c>
      <c r="C80" s="16" t="n">
        <f aca="false">COUNTA(Matriz!CA2:CA141)</f>
        <v>2</v>
      </c>
      <c r="D80" s="16" t="s">
        <v>2208</v>
      </c>
      <c r="E80" s="16"/>
    </row>
    <row r="81" customFormat="false" ht="15" hidden="false" customHeight="false" outlineLevel="0" collapsed="false">
      <c r="A81" s="16" t="s">
        <v>2209</v>
      </c>
      <c r="B81" s="16" t="s">
        <v>2210</v>
      </c>
      <c r="C81" s="16" t="n">
        <v>0</v>
      </c>
      <c r="D81" s="16" t="s">
        <v>2173</v>
      </c>
      <c r="E81" s="16"/>
    </row>
    <row r="82" customFormat="false" ht="15" hidden="false" customHeight="false" outlineLevel="0" collapsed="false">
      <c r="A82" s="16" t="s">
        <v>2211</v>
      </c>
      <c r="B82" s="16" t="s">
        <v>2212</v>
      </c>
      <c r="C82" s="16" t="n">
        <v>0</v>
      </c>
      <c r="D82" s="16" t="s">
        <v>2173</v>
      </c>
      <c r="E82" s="16"/>
    </row>
    <row r="83" customFormat="false" ht="15" hidden="false" customHeight="false" outlineLevel="0" collapsed="false">
      <c r="A83" s="16" t="s">
        <v>2213</v>
      </c>
      <c r="B83" s="16" t="s">
        <v>2214</v>
      </c>
      <c r="C83" s="16" t="n">
        <v>0</v>
      </c>
      <c r="D83" s="16" t="s">
        <v>2173</v>
      </c>
      <c r="E83" s="16"/>
    </row>
    <row r="84" customFormat="false" ht="23.85" hidden="false" customHeight="false" outlineLevel="0" collapsed="false">
      <c r="A84" s="16" t="s">
        <v>594</v>
      </c>
      <c r="B84" s="16" t="s">
        <v>941</v>
      </c>
      <c r="C84" s="16" t="n">
        <f aca="false">COUNTA(Matriz!CB2:CB141)</f>
        <v>5</v>
      </c>
      <c r="D84" s="16" t="s">
        <v>2215</v>
      </c>
      <c r="E84" s="16"/>
    </row>
    <row r="85" customFormat="false" ht="15" hidden="false" customHeight="false" outlineLevel="0" collapsed="false">
      <c r="A85" s="16" t="s">
        <v>595</v>
      </c>
      <c r="B85" s="16" t="s">
        <v>1691</v>
      </c>
      <c r="C85" s="16" t="n">
        <f aca="false">COUNTA(Matriz!CC2:CC141)</f>
        <v>1</v>
      </c>
      <c r="D85" s="16" t="s">
        <v>377</v>
      </c>
      <c r="E85" s="16"/>
    </row>
    <row r="86" customFormat="false" ht="15" hidden="false" customHeight="false" outlineLevel="0" collapsed="false">
      <c r="A86" s="16" t="s">
        <v>2216</v>
      </c>
      <c r="B86" s="16" t="s">
        <v>2217</v>
      </c>
      <c r="C86" s="16" t="n">
        <v>0</v>
      </c>
      <c r="D86" s="16" t="s">
        <v>2173</v>
      </c>
      <c r="E86" s="16"/>
    </row>
    <row r="87" customFormat="false" ht="23.85" hidden="false" customHeight="false" outlineLevel="0" collapsed="false">
      <c r="A87" s="16" t="s">
        <v>2218</v>
      </c>
      <c r="B87" s="16" t="s">
        <v>2219</v>
      </c>
      <c r="C87" s="16" t="n">
        <v>0</v>
      </c>
      <c r="D87" s="16" t="s">
        <v>2173</v>
      </c>
      <c r="E87" s="16"/>
    </row>
    <row r="88" customFormat="false" ht="23.85" hidden="false" customHeight="false" outlineLevel="0" collapsed="false">
      <c r="A88" s="16" t="s">
        <v>596</v>
      </c>
      <c r="B88" s="16" t="s">
        <v>1321</v>
      </c>
      <c r="C88" s="16" t="n">
        <f aca="false">COUNTA(Matriz!CD2:CD141)</f>
        <v>4</v>
      </c>
      <c r="D88" s="16" t="s">
        <v>2220</v>
      </c>
      <c r="E88" s="16"/>
    </row>
    <row r="89" customFormat="false" ht="15" hidden="false" customHeight="false" outlineLevel="0" collapsed="false">
      <c r="A89" s="16" t="s">
        <v>2221</v>
      </c>
      <c r="B89" s="16" t="s">
        <v>2222</v>
      </c>
      <c r="C89" s="16" t="n">
        <v>0</v>
      </c>
      <c r="D89" s="16" t="s">
        <v>2173</v>
      </c>
      <c r="E89" s="16"/>
    </row>
    <row r="90" customFormat="false" ht="23.85" hidden="false" customHeight="false" outlineLevel="0" collapsed="false">
      <c r="A90" s="16" t="s">
        <v>597</v>
      </c>
      <c r="B90" s="16" t="s">
        <v>1948</v>
      </c>
      <c r="C90" s="16" t="n">
        <f aca="false">COUNTA(Matriz!CE2:CE141)</f>
        <v>1</v>
      </c>
      <c r="D90" s="16" t="s">
        <v>470</v>
      </c>
      <c r="E90" s="16"/>
    </row>
    <row r="91" customFormat="false" ht="15" hidden="false" customHeight="false" outlineLevel="0" collapsed="false">
      <c r="A91" s="16" t="s">
        <v>2223</v>
      </c>
      <c r="B91" s="16" t="s">
        <v>2224</v>
      </c>
      <c r="C91" s="16" t="n">
        <v>0</v>
      </c>
      <c r="D91" s="16" t="s">
        <v>2173</v>
      </c>
      <c r="E91" s="16"/>
    </row>
    <row r="92" customFormat="false" ht="23.85" hidden="false" customHeight="false" outlineLevel="0" collapsed="false">
      <c r="A92" s="16" t="s">
        <v>145</v>
      </c>
      <c r="B92" s="16" t="s">
        <v>1013</v>
      </c>
      <c r="C92" s="16" t="n">
        <f aca="false">COUNTA(Matriz!CF2:CF141)</f>
        <v>2</v>
      </c>
      <c r="D92" s="16" t="s">
        <v>2225</v>
      </c>
      <c r="E92" s="16"/>
    </row>
    <row r="93" customFormat="false" ht="23.85" hidden="false" customHeight="false" outlineLevel="0" collapsed="false">
      <c r="A93" s="16" t="s">
        <v>598</v>
      </c>
      <c r="B93" s="16" t="s">
        <v>1445</v>
      </c>
      <c r="C93" s="16" t="n">
        <f aca="false">COUNTA(Matriz!CG2:CG141)</f>
        <v>1</v>
      </c>
      <c r="D93" s="16" t="s">
        <v>276</v>
      </c>
      <c r="E93" s="16"/>
    </row>
    <row r="94" customFormat="false" ht="35.05" hidden="false" customHeight="false" outlineLevel="0" collapsed="false">
      <c r="A94" s="16" t="s">
        <v>155</v>
      </c>
      <c r="B94" s="16" t="s">
        <v>851</v>
      </c>
      <c r="C94" s="16" t="n">
        <f aca="false">COUNTA(Matriz!CH2:CH141)</f>
        <v>6</v>
      </c>
      <c r="D94" s="16" t="s">
        <v>2226</v>
      </c>
      <c r="E94" s="16"/>
    </row>
    <row r="95" customFormat="false" ht="35.05" hidden="false" customHeight="false" outlineLevel="0" collapsed="false">
      <c r="A95" s="16" t="s">
        <v>148</v>
      </c>
      <c r="B95" s="16" t="s">
        <v>955</v>
      </c>
      <c r="C95" s="16" t="n">
        <f aca="false">COUNTA(Matriz!CI2:CI141)</f>
        <v>7</v>
      </c>
      <c r="D95" s="16" t="s">
        <v>2227</v>
      </c>
      <c r="E95" s="16"/>
    </row>
    <row r="96" customFormat="false" ht="46.25" hidden="false" customHeight="false" outlineLevel="0" collapsed="false">
      <c r="A96" s="16" t="s">
        <v>599</v>
      </c>
      <c r="B96" s="16" t="s">
        <v>854</v>
      </c>
      <c r="C96" s="16" t="n">
        <f aca="false">COUNTA(Matriz!CJ2:CJ141)</f>
        <v>10</v>
      </c>
      <c r="D96" s="16" t="s">
        <v>2228</v>
      </c>
      <c r="E96" s="16"/>
    </row>
    <row r="97" customFormat="false" ht="23.85" hidden="false" customHeight="false" outlineLevel="0" collapsed="false">
      <c r="A97" s="16" t="s">
        <v>600</v>
      </c>
      <c r="B97" s="16" t="s">
        <v>630</v>
      </c>
      <c r="C97" s="16" t="n">
        <f aca="false">COUNTA(Matriz!CK2:CK141)</f>
        <v>6</v>
      </c>
      <c r="D97" s="16" t="s">
        <v>2229</v>
      </c>
      <c r="E97" s="16"/>
    </row>
    <row r="98" customFormat="false" ht="35.05" hidden="false" customHeight="false" outlineLevel="0" collapsed="false">
      <c r="A98" s="16" t="s">
        <v>166</v>
      </c>
      <c r="B98" s="16" t="s">
        <v>823</v>
      </c>
      <c r="C98" s="16" t="n">
        <f aca="false">COUNTA(Matriz!CL2:CL141)</f>
        <v>10</v>
      </c>
      <c r="D98" s="16" t="s">
        <v>2230</v>
      </c>
      <c r="E98" s="16"/>
    </row>
    <row r="99" customFormat="false" ht="23.85" hidden="false" customHeight="false" outlineLevel="0" collapsed="false">
      <c r="A99" s="16" t="s">
        <v>170</v>
      </c>
      <c r="B99" s="16" t="s">
        <v>800</v>
      </c>
      <c r="C99" s="16" t="n">
        <f aca="false">COUNTA(Matriz!CM2:CM141)</f>
        <v>5</v>
      </c>
      <c r="D99" s="16" t="s">
        <v>2231</v>
      </c>
      <c r="E99" s="16"/>
    </row>
    <row r="100" customFormat="false" ht="23.85" hidden="false" customHeight="false" outlineLevel="0" collapsed="false">
      <c r="A100" s="16" t="s">
        <v>601</v>
      </c>
      <c r="B100" s="16" t="s">
        <v>991</v>
      </c>
      <c r="C100" s="16" t="n">
        <f aca="false">COUNTA(Matriz!CN2:CN141)</f>
        <v>2</v>
      </c>
      <c r="D100" s="16" t="s">
        <v>2232</v>
      </c>
      <c r="E100" s="16"/>
    </row>
    <row r="101" customFormat="false" ht="15" hidden="false" customHeight="false" outlineLevel="0" collapsed="false">
      <c r="A101" s="16" t="s">
        <v>241</v>
      </c>
      <c r="B101" s="16" t="s">
        <v>1037</v>
      </c>
      <c r="C101" s="16" t="n">
        <f aca="false">COUNTA(Matriz!CO2:CO141)</f>
        <v>2</v>
      </c>
      <c r="D101" s="16" t="s">
        <v>2233</v>
      </c>
      <c r="E101" s="16"/>
    </row>
    <row r="102" customFormat="false" ht="15" hidden="false" customHeight="false" outlineLevel="0" collapsed="false">
      <c r="A102" s="16" t="s">
        <v>602</v>
      </c>
      <c r="B102" s="16" t="s">
        <v>1040</v>
      </c>
      <c r="C102" s="16" t="n">
        <f aca="false">COUNTA(Matriz!CP2:CP141)</f>
        <v>3</v>
      </c>
      <c r="D102" s="16" t="s">
        <v>2234</v>
      </c>
      <c r="E102" s="16"/>
    </row>
    <row r="103" customFormat="false" ht="15" hidden="false" customHeight="false" outlineLevel="0" collapsed="false">
      <c r="A103" s="16" t="s">
        <v>603</v>
      </c>
      <c r="B103" s="16" t="s">
        <v>966</v>
      </c>
      <c r="C103" s="16" t="n">
        <f aca="false">COUNTA(Matriz!CQ2:CQ141)</f>
        <v>2</v>
      </c>
      <c r="D103" s="16" t="s">
        <v>2235</v>
      </c>
      <c r="E103" s="16"/>
    </row>
    <row r="104" customFormat="false" ht="15" hidden="false" customHeight="false" outlineLevel="0" collapsed="false">
      <c r="A104" s="16" t="s">
        <v>604</v>
      </c>
      <c r="B104" s="16" t="s">
        <v>1050</v>
      </c>
      <c r="C104" s="16" t="n">
        <f aca="false">COUNTA(Matriz!CR2:CR141)</f>
        <v>3</v>
      </c>
      <c r="D104" s="16" t="s">
        <v>2236</v>
      </c>
      <c r="E104" s="16"/>
    </row>
    <row r="105" customFormat="false" ht="23.85" hidden="false" customHeight="false" outlineLevel="0" collapsed="false">
      <c r="A105" s="16" t="s">
        <v>137</v>
      </c>
      <c r="B105" s="16" t="s">
        <v>1002</v>
      </c>
      <c r="C105" s="16" t="n">
        <f aca="false">COUNTA(Matriz!CS2:CS141)</f>
        <v>1</v>
      </c>
      <c r="D105" s="16" t="s">
        <v>132</v>
      </c>
      <c r="E105" s="16"/>
    </row>
    <row r="106" customFormat="false" ht="35.05" hidden="false" customHeight="false" outlineLevel="0" collapsed="false">
      <c r="A106" s="16" t="s">
        <v>179</v>
      </c>
      <c r="B106" s="16" t="s">
        <v>693</v>
      </c>
      <c r="C106" s="16" t="n">
        <f aca="false">COUNTA(Matriz!CT2:CT141)</f>
        <v>10</v>
      </c>
      <c r="D106" s="16" t="s">
        <v>2237</v>
      </c>
      <c r="E106" s="16"/>
    </row>
    <row r="107" customFormat="false" ht="23.85" hidden="false" customHeight="false" outlineLevel="0" collapsed="false">
      <c r="A107" s="16" t="s">
        <v>605</v>
      </c>
      <c r="B107" s="16" t="s">
        <v>1042</v>
      </c>
      <c r="C107" s="16" t="n">
        <f aca="false">COUNTA(Matriz!CU2:CU141)</f>
        <v>8</v>
      </c>
      <c r="D107" s="16" t="s">
        <v>2238</v>
      </c>
      <c r="E107" s="16"/>
    </row>
    <row r="108" customFormat="false" ht="35.05" hidden="false" customHeight="false" outlineLevel="0" collapsed="false">
      <c r="A108" s="16" t="s">
        <v>467</v>
      </c>
      <c r="B108" s="16" t="s">
        <v>1201</v>
      </c>
      <c r="C108" s="16" t="n">
        <f aca="false">COUNTA(Matriz!CV2:CV141)</f>
        <v>8</v>
      </c>
      <c r="D108" s="16" t="s">
        <v>2239</v>
      </c>
      <c r="E108" s="16"/>
    </row>
  </sheetData>
  <autoFilter ref="A1:E1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30"/>
  </cols>
  <sheetData>
    <row r="1" customFormat="false" ht="15" hidden="false" customHeight="false" outlineLevel="0" collapsed="false">
      <c r="A1" s="18" t="s">
        <v>2240</v>
      </c>
      <c r="B1" s="16"/>
    </row>
    <row r="2" customFormat="false" ht="15" hidden="false" customHeight="false" outlineLevel="0" collapsed="false">
      <c r="A2" s="10" t="s">
        <v>2241</v>
      </c>
      <c r="B2" s="16" t="s">
        <v>2242</v>
      </c>
    </row>
    <row r="3" customFormat="false" ht="15" hidden="false" customHeight="false" outlineLevel="0" collapsed="false">
      <c r="A3" s="10" t="s">
        <v>2243</v>
      </c>
      <c r="B3" s="16" t="s">
        <v>2244</v>
      </c>
    </row>
    <row r="4" customFormat="false" ht="15" hidden="false" customHeight="false" outlineLevel="0" collapsed="false">
      <c r="A4" s="10" t="s">
        <v>2245</v>
      </c>
      <c r="B4" s="16" t="s">
        <v>2246</v>
      </c>
    </row>
    <row r="5" customFormat="false" ht="15" hidden="false" customHeight="false" outlineLevel="0" collapsed="false">
      <c r="A5" s="10" t="s">
        <v>2247</v>
      </c>
      <c r="B5" s="16" t="s">
        <v>2248</v>
      </c>
    </row>
    <row r="6" customFormat="false" ht="15" hidden="false" customHeight="false" outlineLevel="0" collapsed="false">
      <c r="A6" s="18"/>
      <c r="B6" s="16"/>
    </row>
    <row r="7" customFormat="false" ht="15" hidden="false" customHeight="false" outlineLevel="0" collapsed="false">
      <c r="A7" s="18" t="s">
        <v>2249</v>
      </c>
      <c r="B7" s="16"/>
    </row>
    <row r="8" customFormat="false" ht="23.85" hidden="false" customHeight="false" outlineLevel="0" collapsed="false">
      <c r="A8" s="10" t="s">
        <v>2250</v>
      </c>
      <c r="B8" s="16" t="s">
        <v>2251</v>
      </c>
    </row>
    <row r="9" customFormat="false" ht="35.05" hidden="false" customHeight="false" outlineLevel="0" collapsed="false">
      <c r="A9" s="10" t="s">
        <v>2252</v>
      </c>
      <c r="B9" s="16" t="s">
        <v>2253</v>
      </c>
    </row>
    <row r="10" customFormat="false" ht="23.85" hidden="false" customHeight="false" outlineLevel="0" collapsed="false">
      <c r="A10" s="10" t="s">
        <v>2254</v>
      </c>
      <c r="B10" s="16" t="s">
        <v>2255</v>
      </c>
    </row>
    <row r="11" customFormat="false" ht="23.85" hidden="false" customHeight="false" outlineLevel="0" collapsed="false">
      <c r="A11" s="10" t="s">
        <v>2256</v>
      </c>
      <c r="B11" s="16" t="s">
        <v>2257</v>
      </c>
    </row>
    <row r="12" customFormat="false" ht="15" hidden="false" customHeight="false" outlineLevel="0" collapsed="false">
      <c r="A12" s="18"/>
      <c r="B12" s="16"/>
    </row>
    <row r="13" customFormat="false" ht="15" hidden="false" customHeight="false" outlineLevel="0" collapsed="false">
      <c r="A13" s="18" t="s">
        <v>2258</v>
      </c>
      <c r="B13" s="16"/>
    </row>
    <row r="14" customFormat="false" ht="23.85" hidden="false" customHeight="false" outlineLevel="0" collapsed="false">
      <c r="A14" s="10" t="s">
        <v>2259</v>
      </c>
      <c r="B14" s="16" t="s">
        <v>2260</v>
      </c>
    </row>
    <row r="15" customFormat="false" ht="23.85" hidden="false" customHeight="false" outlineLevel="0" collapsed="false">
      <c r="A15" s="10" t="s">
        <v>2261</v>
      </c>
      <c r="B15" s="16" t="s">
        <v>2262</v>
      </c>
    </row>
    <row r="16" customFormat="false" ht="15" hidden="false" customHeight="false" outlineLevel="0" collapsed="false">
      <c r="A16" s="10" t="s">
        <v>2263</v>
      </c>
      <c r="B16" s="16" t="s">
        <v>2264</v>
      </c>
    </row>
    <row r="17" customFormat="false" ht="102.2" hidden="false" customHeight="false" outlineLevel="0" collapsed="false">
      <c r="A17" s="10" t="s">
        <v>2265</v>
      </c>
      <c r="B17" s="16" t="s">
        <v>2266</v>
      </c>
    </row>
    <row r="18" customFormat="false" ht="68.65" hidden="false" customHeight="false" outlineLevel="0" collapsed="false">
      <c r="A18" s="10" t="s">
        <v>2267</v>
      </c>
      <c r="B18" s="16" t="s">
        <v>2268</v>
      </c>
    </row>
    <row r="19" customFormat="false" ht="15" hidden="false" customHeight="false" outlineLevel="0" collapsed="false">
      <c r="A19" s="18"/>
      <c r="B19" s="16"/>
    </row>
    <row r="20" customFormat="false" ht="15" hidden="false" customHeight="false" outlineLevel="0" collapsed="false">
      <c r="A20" s="18" t="s">
        <v>2269</v>
      </c>
      <c r="B20" s="16"/>
    </row>
    <row r="21" customFormat="false" ht="15" hidden="false" customHeight="false" outlineLevel="0" collapsed="false">
      <c r="A21" s="10" t="s">
        <v>2270</v>
      </c>
      <c r="B21" s="16" t="s">
        <v>2271</v>
      </c>
    </row>
    <row r="22" customFormat="false" ht="23.85" hidden="false" customHeight="false" outlineLevel="0" collapsed="false">
      <c r="A22" s="10" t="s">
        <v>2272</v>
      </c>
      <c r="B22" s="16" t="s">
        <v>2273</v>
      </c>
    </row>
    <row r="23" customFormat="false" ht="15" hidden="false" customHeight="false" outlineLevel="0" collapsed="false">
      <c r="A23" s="10" t="s">
        <v>2274</v>
      </c>
      <c r="B23" s="16" t="s">
        <v>2275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2026-10-02T09:36:03Z</dcterms:created>
  <dc:creator>openpyxl</dc:creator>
  <dc:description/>
  <dc:language>en-US</dc:language>
  <cp:lastModifiedBy/>
  <dcterms:modified xsi:type="dcterms:W3CDTF">2026-10-02T09:36:03Z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